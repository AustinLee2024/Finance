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初级会计题库\"/>
    </mc:Choice>
  </mc:AlternateContent>
  <xr:revisionPtr revIDLastSave="0" documentId="13_ncr:1_{D8A076B4-BFA2-4633-89E4-26E1237848DD}" xr6:coauthVersionLast="47" xr6:coauthVersionMax="47" xr10:uidLastSave="{00000000-0000-0000-0000-000000000000}"/>
  <bookViews>
    <workbookView xWindow="-108" yWindow="-108" windowWidth="23256" windowHeight="12576" tabRatio="986" firstSheet="1" activeTab="12" xr2:uid="{B2954A40-1E3A-431A-AF23-CB3ADF98A890}"/>
  </bookViews>
  <sheets>
    <sheet name="P2 Netflix" sheetId="1" r:id="rId1"/>
    <sheet name="P2 PDD" sheetId="2" r:id="rId2"/>
    <sheet name="P2 AMD" sheetId="7" r:id="rId3"/>
    <sheet name="P2 FSLR" sheetId="8" r:id="rId4"/>
    <sheet name="P2 Shell" sheetId="9" r:id="rId5"/>
    <sheet name="P2 JNJ" sheetId="14" r:id="rId6"/>
    <sheet name="CAPM Regression" sheetId="12" r:id="rId7"/>
    <sheet name="Active Porfolio" sheetId="11" r:id="rId8"/>
    <sheet name="selection" sheetId="13" r:id="rId9"/>
    <sheet name="SMB+HML" sheetId="17" r:id="rId10"/>
    <sheet name="ETF QQQ" sheetId="19" r:id="rId11"/>
    <sheet name="Visualization" sheetId="18" r:id="rId12"/>
    <sheet name="Investment Style" sheetId="2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0" i="20" l="1"/>
  <c r="G69" i="20"/>
  <c r="G68" i="20"/>
  <c r="G67" i="18" l="1"/>
  <c r="K47" i="20"/>
  <c r="K42" i="20"/>
  <c r="K43" i="20"/>
  <c r="K44" i="20"/>
  <c r="K45" i="20"/>
  <c r="K46" i="20"/>
  <c r="K41" i="20"/>
  <c r="G42" i="20"/>
  <c r="G43" i="20"/>
  <c r="G44" i="20"/>
  <c r="G45" i="20"/>
  <c r="G46" i="20"/>
  <c r="G41" i="20"/>
  <c r="H42" i="20"/>
  <c r="H43" i="20"/>
  <c r="H44" i="20"/>
  <c r="H45" i="20"/>
  <c r="H46" i="20"/>
  <c r="H41" i="20"/>
  <c r="J47" i="20"/>
  <c r="H65" i="14"/>
  <c r="D47" i="11" l="1"/>
  <c r="D33" i="11"/>
  <c r="J46" i="20"/>
  <c r="J45" i="20"/>
  <c r="J44" i="20"/>
  <c r="J43" i="20"/>
  <c r="J42" i="20"/>
  <c r="J41" i="20"/>
  <c r="I46" i="20"/>
  <c r="I45" i="20"/>
  <c r="I44" i="20"/>
  <c r="I43" i="20"/>
  <c r="I42" i="20"/>
  <c r="I41" i="20"/>
  <c r="G65" i="9"/>
  <c r="G66" i="7"/>
  <c r="G66" i="2"/>
  <c r="G65" i="1"/>
  <c r="G65" i="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" i="18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4" i="19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" i="18"/>
  <c r="E6" i="18" l="1"/>
  <c r="E62" i="18"/>
  <c r="E58" i="18"/>
  <c r="E54" i="18"/>
  <c r="E50" i="18"/>
  <c r="E46" i="18"/>
  <c r="E42" i="18"/>
  <c r="E38" i="18"/>
  <c r="E34" i="18"/>
  <c r="E30" i="18"/>
  <c r="E26" i="18"/>
  <c r="E22" i="18"/>
  <c r="E18" i="18"/>
  <c r="E14" i="18"/>
  <c r="E10" i="18"/>
  <c r="E65" i="18"/>
  <c r="E61" i="18"/>
  <c r="E57" i="18"/>
  <c r="E53" i="18"/>
  <c r="E49" i="18"/>
  <c r="E45" i="18"/>
  <c r="E41" i="18"/>
  <c r="E37" i="18"/>
  <c r="E33" i="18"/>
  <c r="E29" i="18"/>
  <c r="E25" i="18"/>
  <c r="E21" i="18"/>
  <c r="E17" i="18"/>
  <c r="E13" i="18"/>
  <c r="E9" i="18"/>
  <c r="E64" i="18"/>
  <c r="E60" i="18"/>
  <c r="E56" i="18"/>
  <c r="E52" i="18"/>
  <c r="E48" i="18"/>
  <c r="E44" i="18"/>
  <c r="E40" i="18"/>
  <c r="E36" i="18"/>
  <c r="E32" i="18"/>
  <c r="E28" i="18"/>
  <c r="E24" i="18"/>
  <c r="E20" i="18"/>
  <c r="E16" i="18"/>
  <c r="E12" i="18"/>
  <c r="E8" i="18"/>
  <c r="E63" i="18"/>
  <c r="E59" i="18"/>
  <c r="E55" i="18"/>
  <c r="E51" i="18"/>
  <c r="E47" i="18"/>
  <c r="E43" i="18"/>
  <c r="E39" i="18"/>
  <c r="E35" i="18"/>
  <c r="E31" i="18"/>
  <c r="E27" i="18"/>
  <c r="E23" i="18"/>
  <c r="E19" i="18"/>
  <c r="E15" i="18"/>
  <c r="E11" i="18"/>
  <c r="E7" i="18"/>
  <c r="T3" i="17" l="1"/>
  <c r="S3" i="17"/>
  <c r="R3" i="17"/>
  <c r="Q3" i="17"/>
  <c r="P3" i="17"/>
  <c r="O3" i="17"/>
  <c r="N3" i="17"/>
  <c r="T3" i="13"/>
  <c r="S3" i="13"/>
  <c r="R3" i="13"/>
  <c r="Q3" i="13"/>
  <c r="P3" i="13"/>
  <c r="V7" i="13" s="1"/>
  <c r="O3" i="13"/>
  <c r="N3" i="13"/>
  <c r="V5" i="13" s="1"/>
  <c r="F25" i="11"/>
  <c r="F20" i="11"/>
  <c r="F21" i="11"/>
  <c r="F22" i="11"/>
  <c r="F23" i="11"/>
  <c r="F24" i="11"/>
  <c r="F19" i="11"/>
  <c r="D11" i="11"/>
  <c r="H16" i="11"/>
  <c r="I16" i="11" s="1"/>
  <c r="H15" i="11"/>
  <c r="H14" i="11"/>
  <c r="H12" i="11"/>
  <c r="G16" i="11"/>
  <c r="G15" i="11"/>
  <c r="G14" i="11"/>
  <c r="G13" i="11"/>
  <c r="G12" i="11"/>
  <c r="G11" i="11"/>
  <c r="V3" i="17" l="1"/>
  <c r="F6" i="18" s="1"/>
  <c r="V6" i="13"/>
  <c r="V60" i="13"/>
  <c r="V56" i="13"/>
  <c r="V52" i="13"/>
  <c r="V48" i="13"/>
  <c r="V44" i="13"/>
  <c r="V40" i="13"/>
  <c r="V36" i="13"/>
  <c r="V32" i="13"/>
  <c r="V28" i="13"/>
  <c r="V24" i="13"/>
  <c r="V20" i="13"/>
  <c r="V16" i="13"/>
  <c r="V12" i="13"/>
  <c r="V8" i="13"/>
  <c r="V4" i="13"/>
  <c r="V3" i="13"/>
  <c r="V59" i="13"/>
  <c r="V55" i="13"/>
  <c r="V51" i="13"/>
  <c r="V47" i="13"/>
  <c r="V43" i="13"/>
  <c r="V39" i="13"/>
  <c r="V35" i="13"/>
  <c r="V31" i="13"/>
  <c r="V27" i="13"/>
  <c r="V23" i="13"/>
  <c r="V19" i="13"/>
  <c r="V15" i="13"/>
  <c r="V11" i="13"/>
  <c r="V62" i="13"/>
  <c r="V58" i="13"/>
  <c r="V54" i="13"/>
  <c r="V50" i="13"/>
  <c r="V46" i="13"/>
  <c r="V42" i="13"/>
  <c r="V38" i="13"/>
  <c r="V34" i="13"/>
  <c r="V30" i="13"/>
  <c r="V26" i="13"/>
  <c r="V22" i="13"/>
  <c r="V18" i="13"/>
  <c r="V14" i="13"/>
  <c r="V10" i="13"/>
  <c r="V61" i="13"/>
  <c r="V57" i="13"/>
  <c r="V53" i="13"/>
  <c r="V49" i="13"/>
  <c r="V45" i="13"/>
  <c r="V41" i="13"/>
  <c r="V37" i="13"/>
  <c r="V33" i="13"/>
  <c r="V29" i="13"/>
  <c r="V25" i="13"/>
  <c r="V21" i="13"/>
  <c r="V17" i="13"/>
  <c r="V13" i="13"/>
  <c r="V9" i="13"/>
  <c r="V55" i="17"/>
  <c r="F58" i="18" s="1"/>
  <c r="G58" i="18" s="1"/>
  <c r="V62" i="17"/>
  <c r="F65" i="18" s="1"/>
  <c r="G65" i="18" s="1"/>
  <c r="V11" i="17"/>
  <c r="F14" i="18" s="1"/>
  <c r="G14" i="18" s="1"/>
  <c r="V19" i="17"/>
  <c r="F22" i="18" s="1"/>
  <c r="G22" i="18" s="1"/>
  <c r="V27" i="17"/>
  <c r="F30" i="18" s="1"/>
  <c r="G30" i="18" s="1"/>
  <c r="V35" i="17"/>
  <c r="F38" i="18" s="1"/>
  <c r="G38" i="18" s="1"/>
  <c r="V43" i="17"/>
  <c r="F46" i="18" s="1"/>
  <c r="G46" i="18" s="1"/>
  <c r="V51" i="17"/>
  <c r="F54" i="18" s="1"/>
  <c r="G54" i="18" s="1"/>
  <c r="V59" i="17"/>
  <c r="F62" i="18" s="1"/>
  <c r="G62" i="18" s="1"/>
  <c r="V8" i="17"/>
  <c r="F11" i="18" s="1"/>
  <c r="G11" i="18" s="1"/>
  <c r="V16" i="17"/>
  <c r="F19" i="18" s="1"/>
  <c r="G19" i="18" s="1"/>
  <c r="V28" i="17"/>
  <c r="F31" i="18" s="1"/>
  <c r="G31" i="18" s="1"/>
  <c r="V36" i="17"/>
  <c r="F39" i="18" s="1"/>
  <c r="G39" i="18" s="1"/>
  <c r="V44" i="17"/>
  <c r="F47" i="18" s="1"/>
  <c r="G47" i="18" s="1"/>
  <c r="V52" i="17"/>
  <c r="F55" i="18" s="1"/>
  <c r="G55" i="18" s="1"/>
  <c r="V60" i="17"/>
  <c r="F63" i="18" s="1"/>
  <c r="G63" i="18" s="1"/>
  <c r="V5" i="17"/>
  <c r="F8" i="18" s="1"/>
  <c r="G8" i="18" s="1"/>
  <c r="V9" i="17"/>
  <c r="F12" i="18" s="1"/>
  <c r="G12" i="18" s="1"/>
  <c r="V13" i="17"/>
  <c r="F16" i="18" s="1"/>
  <c r="G16" i="18" s="1"/>
  <c r="V17" i="17"/>
  <c r="F20" i="18" s="1"/>
  <c r="G20" i="18" s="1"/>
  <c r="V21" i="17"/>
  <c r="F24" i="18" s="1"/>
  <c r="G24" i="18" s="1"/>
  <c r="V25" i="17"/>
  <c r="F28" i="18" s="1"/>
  <c r="G28" i="18" s="1"/>
  <c r="V29" i="17"/>
  <c r="F32" i="18" s="1"/>
  <c r="G32" i="18" s="1"/>
  <c r="V33" i="17"/>
  <c r="F36" i="18" s="1"/>
  <c r="G36" i="18" s="1"/>
  <c r="V37" i="17"/>
  <c r="F40" i="18" s="1"/>
  <c r="G40" i="18" s="1"/>
  <c r="V41" i="17"/>
  <c r="F44" i="18" s="1"/>
  <c r="G44" i="18" s="1"/>
  <c r="V45" i="17"/>
  <c r="F48" i="18" s="1"/>
  <c r="G48" i="18" s="1"/>
  <c r="V49" i="17"/>
  <c r="F52" i="18" s="1"/>
  <c r="G52" i="18" s="1"/>
  <c r="V53" i="17"/>
  <c r="F56" i="18" s="1"/>
  <c r="G56" i="18" s="1"/>
  <c r="V57" i="17"/>
  <c r="F60" i="18" s="1"/>
  <c r="G60" i="18" s="1"/>
  <c r="V61" i="17"/>
  <c r="F64" i="18" s="1"/>
  <c r="G64" i="18" s="1"/>
  <c r="V7" i="17"/>
  <c r="F10" i="18" s="1"/>
  <c r="G10" i="18" s="1"/>
  <c r="V15" i="17"/>
  <c r="F18" i="18" s="1"/>
  <c r="G18" i="18" s="1"/>
  <c r="V23" i="17"/>
  <c r="F26" i="18" s="1"/>
  <c r="G26" i="18" s="1"/>
  <c r="V31" i="17"/>
  <c r="F34" i="18" s="1"/>
  <c r="G34" i="18" s="1"/>
  <c r="V39" i="17"/>
  <c r="F42" i="18" s="1"/>
  <c r="G42" i="18" s="1"/>
  <c r="V47" i="17"/>
  <c r="F50" i="18" s="1"/>
  <c r="G50" i="18" s="1"/>
  <c r="V4" i="17"/>
  <c r="F7" i="18" s="1"/>
  <c r="G7" i="18" s="1"/>
  <c r="V12" i="17"/>
  <c r="F15" i="18" s="1"/>
  <c r="G15" i="18" s="1"/>
  <c r="V20" i="17"/>
  <c r="F23" i="18" s="1"/>
  <c r="G23" i="18" s="1"/>
  <c r="V24" i="17"/>
  <c r="F27" i="18" s="1"/>
  <c r="G27" i="18" s="1"/>
  <c r="V32" i="17"/>
  <c r="F35" i="18" s="1"/>
  <c r="G35" i="18" s="1"/>
  <c r="V40" i="17"/>
  <c r="F43" i="18" s="1"/>
  <c r="G43" i="18" s="1"/>
  <c r="V48" i="17"/>
  <c r="F51" i="18" s="1"/>
  <c r="G51" i="18" s="1"/>
  <c r="V56" i="17"/>
  <c r="F59" i="18" s="1"/>
  <c r="G59" i="18" s="1"/>
  <c r="V6" i="17"/>
  <c r="F9" i="18" s="1"/>
  <c r="G9" i="18" s="1"/>
  <c r="V10" i="17"/>
  <c r="F13" i="18" s="1"/>
  <c r="G13" i="18" s="1"/>
  <c r="V14" i="17"/>
  <c r="F17" i="18" s="1"/>
  <c r="G17" i="18" s="1"/>
  <c r="V18" i="17"/>
  <c r="F21" i="18" s="1"/>
  <c r="G21" i="18" s="1"/>
  <c r="V22" i="17"/>
  <c r="F25" i="18" s="1"/>
  <c r="G25" i="18" s="1"/>
  <c r="V26" i="17"/>
  <c r="F29" i="18" s="1"/>
  <c r="G29" i="18" s="1"/>
  <c r="V30" i="17"/>
  <c r="F33" i="18" s="1"/>
  <c r="G33" i="18" s="1"/>
  <c r="V34" i="17"/>
  <c r="F37" i="18" s="1"/>
  <c r="G37" i="18" s="1"/>
  <c r="V38" i="17"/>
  <c r="F41" i="18" s="1"/>
  <c r="G41" i="18" s="1"/>
  <c r="V42" i="17"/>
  <c r="F45" i="18" s="1"/>
  <c r="G45" i="18" s="1"/>
  <c r="V46" i="17"/>
  <c r="F49" i="18" s="1"/>
  <c r="G49" i="18" s="1"/>
  <c r="V50" i="17"/>
  <c r="F53" i="18" s="1"/>
  <c r="G53" i="18" s="1"/>
  <c r="V54" i="17"/>
  <c r="F57" i="18" s="1"/>
  <c r="G57" i="18" s="1"/>
  <c r="V58" i="17"/>
  <c r="F61" i="18" s="1"/>
  <c r="G61" i="18" s="1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4" i="12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4" i="14"/>
  <c r="O3" i="18" l="1"/>
  <c r="G6" i="18"/>
  <c r="J6" i="18" s="1"/>
  <c r="J7" i="18" s="1"/>
  <c r="J8" i="18" s="1"/>
  <c r="J9" i="18" s="1"/>
  <c r="J10" i="18" s="1"/>
  <c r="J11" i="18" s="1"/>
  <c r="J12" i="18" s="1"/>
  <c r="J13" i="18" s="1"/>
  <c r="J14" i="18" s="1"/>
  <c r="J15" i="18" s="1"/>
  <c r="J16" i="18" s="1"/>
  <c r="J17" i="18" s="1"/>
  <c r="J18" i="18" s="1"/>
  <c r="J19" i="18" s="1"/>
  <c r="J20" i="18" s="1"/>
  <c r="J21" i="18" s="1"/>
  <c r="J22" i="18" s="1"/>
  <c r="J23" i="18" s="1"/>
  <c r="J24" i="18" s="1"/>
  <c r="J25" i="18" s="1"/>
  <c r="J26" i="18" s="1"/>
  <c r="J27" i="18" s="1"/>
  <c r="J28" i="18" s="1"/>
  <c r="J29" i="18" s="1"/>
  <c r="J30" i="18" s="1"/>
  <c r="J31" i="18" s="1"/>
  <c r="J32" i="18" s="1"/>
  <c r="J33" i="18" s="1"/>
  <c r="J34" i="18" s="1"/>
  <c r="J35" i="18" s="1"/>
  <c r="J36" i="18" s="1"/>
  <c r="J37" i="18" s="1"/>
  <c r="J38" i="18" s="1"/>
  <c r="J39" i="18" s="1"/>
  <c r="J40" i="18" s="1"/>
  <c r="J41" i="18" s="1"/>
  <c r="J42" i="18" s="1"/>
  <c r="J43" i="18" s="1"/>
  <c r="J44" i="18" s="1"/>
  <c r="J45" i="18" s="1"/>
  <c r="J46" i="18" s="1"/>
  <c r="J47" i="18" s="1"/>
  <c r="J48" i="18" s="1"/>
  <c r="J49" i="18" s="1"/>
  <c r="J50" i="18" s="1"/>
  <c r="J51" i="18" s="1"/>
  <c r="J52" i="18" s="1"/>
  <c r="J53" i="18" s="1"/>
  <c r="J54" i="18" s="1"/>
  <c r="J55" i="18" s="1"/>
  <c r="J56" i="18" s="1"/>
  <c r="J57" i="18" s="1"/>
  <c r="J58" i="18" s="1"/>
  <c r="J59" i="18" s="1"/>
  <c r="J60" i="18" s="1"/>
  <c r="J61" i="18" s="1"/>
  <c r="J62" i="18" s="1"/>
  <c r="J63" i="18" s="1"/>
  <c r="J64" i="18" s="1"/>
  <c r="J65" i="18" s="1"/>
  <c r="H13" i="11"/>
  <c r="H11" i="11"/>
  <c r="H6" i="18" l="1"/>
  <c r="I6" i="18" s="1"/>
  <c r="I7" i="18" s="1"/>
  <c r="H7" i="18"/>
  <c r="H23" i="18"/>
  <c r="H39" i="18"/>
  <c r="H55" i="18"/>
  <c r="H12" i="18"/>
  <c r="H28" i="18"/>
  <c r="H44" i="18"/>
  <c r="H60" i="18"/>
  <c r="H17" i="18"/>
  <c r="H33" i="18"/>
  <c r="H49" i="18"/>
  <c r="H65" i="18"/>
  <c r="H22" i="18"/>
  <c r="H38" i="18"/>
  <c r="H11" i="18"/>
  <c r="H27" i="18"/>
  <c r="H43" i="18"/>
  <c r="H59" i="18"/>
  <c r="H16" i="18"/>
  <c r="H32" i="18"/>
  <c r="H48" i="18"/>
  <c r="H64" i="18"/>
  <c r="H21" i="18"/>
  <c r="H37" i="18"/>
  <c r="H53" i="18"/>
  <c r="H10" i="18"/>
  <c r="H26" i="18"/>
  <c r="H42" i="18"/>
  <c r="H54" i="18"/>
  <c r="H15" i="18"/>
  <c r="H31" i="18"/>
  <c r="H47" i="18"/>
  <c r="H63" i="18"/>
  <c r="H20" i="18"/>
  <c r="H36" i="18"/>
  <c r="H52" i="18"/>
  <c r="H9" i="18"/>
  <c r="H25" i="18"/>
  <c r="H41" i="18"/>
  <c r="H57" i="18"/>
  <c r="H14" i="18"/>
  <c r="H30" i="18"/>
  <c r="H46" i="18"/>
  <c r="H58" i="18"/>
  <c r="H19" i="18"/>
  <c r="H35" i="18"/>
  <c r="H51" i="18"/>
  <c r="H8" i="18"/>
  <c r="H24" i="18"/>
  <c r="H40" i="18"/>
  <c r="H56" i="18"/>
  <c r="H13" i="18"/>
  <c r="H29" i="18"/>
  <c r="H45" i="18"/>
  <c r="H61" i="18"/>
  <c r="H18" i="18"/>
  <c r="H34" i="18"/>
  <c r="H50" i="18"/>
  <c r="H62" i="18"/>
  <c r="O68" i="12"/>
  <c r="D5" i="11" s="1"/>
  <c r="O67" i="12"/>
  <c r="D4" i="11" s="1"/>
  <c r="D16" i="11" s="1"/>
  <c r="F16" i="11" s="1"/>
  <c r="D24" i="11" s="1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4" i="12"/>
  <c r="I12" i="11"/>
  <c r="I13" i="11"/>
  <c r="I14" i="11"/>
  <c r="I15" i="11"/>
  <c r="I11" i="11"/>
  <c r="I8" i="18" l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I22" i="18" s="1"/>
  <c r="I23" i="18" s="1"/>
  <c r="I24" i="18" s="1"/>
  <c r="I25" i="18" s="1"/>
  <c r="I26" i="18" s="1"/>
  <c r="I27" i="18" s="1"/>
  <c r="I28" i="18" s="1"/>
  <c r="I29" i="18" s="1"/>
  <c r="I30" i="18" s="1"/>
  <c r="I31" i="18" s="1"/>
  <c r="I32" i="18" s="1"/>
  <c r="I33" i="18" s="1"/>
  <c r="I34" i="18" s="1"/>
  <c r="I35" i="18" s="1"/>
  <c r="I36" i="18" s="1"/>
  <c r="I37" i="18" s="1"/>
  <c r="I38" i="18" s="1"/>
  <c r="I39" i="18" s="1"/>
  <c r="I40" i="18" s="1"/>
  <c r="I41" i="18" s="1"/>
  <c r="I42" i="18" s="1"/>
  <c r="I43" i="18" s="1"/>
  <c r="I44" i="18" s="1"/>
  <c r="I45" i="18" s="1"/>
  <c r="I46" i="18" s="1"/>
  <c r="I47" i="18" s="1"/>
  <c r="I48" i="18" s="1"/>
  <c r="I49" i="18" s="1"/>
  <c r="I50" i="18" s="1"/>
  <c r="I51" i="18" s="1"/>
  <c r="I52" i="18" s="1"/>
  <c r="I53" i="18" s="1"/>
  <c r="I54" i="18" s="1"/>
  <c r="I55" i="18" s="1"/>
  <c r="I56" i="18" s="1"/>
  <c r="I57" i="18" s="1"/>
  <c r="I58" i="18" s="1"/>
  <c r="I59" i="18" s="1"/>
  <c r="I60" i="18" s="1"/>
  <c r="I61" i="18" s="1"/>
  <c r="I62" i="18" s="1"/>
  <c r="I63" i="18" s="1"/>
  <c r="I64" i="18" s="1"/>
  <c r="I65" i="18" s="1"/>
  <c r="I64" i="12"/>
  <c r="D6" i="11"/>
  <c r="F11" i="11" l="1"/>
  <c r="D12" i="11"/>
  <c r="F12" i="11" s="1"/>
  <c r="D20" i="11" s="1"/>
  <c r="D15" i="11"/>
  <c r="F15" i="11" s="1"/>
  <c r="D23" i="11" s="1"/>
  <c r="D14" i="11"/>
  <c r="F14" i="11" s="1"/>
  <c r="D13" i="11"/>
  <c r="F13" i="11" s="1"/>
  <c r="D21" i="11" s="1"/>
  <c r="D19" i="11" l="1"/>
  <c r="D22" i="11"/>
  <c r="D25" i="11" l="1"/>
  <c r="E24" i="11" s="1"/>
  <c r="E21" i="11"/>
  <c r="E20" i="11" l="1"/>
  <c r="E22" i="11"/>
  <c r="E23" i="11"/>
  <c r="E19" i="11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4" i="9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4" i="8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5" i="7"/>
  <c r="H4" i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5" i="2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5" i="1"/>
  <c r="D32" i="11" l="1"/>
  <c r="D29" i="11"/>
  <c r="D28" i="11"/>
  <c r="E25" i="11"/>
  <c r="D30" i="11" l="1"/>
  <c r="D31" i="11" s="1"/>
  <c r="D40" i="11" l="1"/>
  <c r="D43" i="11"/>
  <c r="D39" i="11"/>
  <c r="D34" i="11"/>
  <c r="D48" i="11" s="1"/>
  <c r="D42" i="11"/>
  <c r="D38" i="11"/>
  <c r="D41" i="11"/>
  <c r="D44" i="11" l="1"/>
  <c r="D49" i="11"/>
  <c r="D50" i="11" s="1"/>
  <c r="D51" i="11" s="1"/>
</calcChain>
</file>

<file path=xl/sharedStrings.xml><?xml version="1.0" encoding="utf-8"?>
<sst xmlns="http://schemas.openxmlformats.org/spreadsheetml/2006/main" count="661" uniqueCount="185">
  <si>
    <t>Open</t>
  </si>
  <si>
    <t>High</t>
  </si>
  <si>
    <t>Low</t>
  </si>
  <si>
    <t>Close</t>
  </si>
  <si>
    <t>Adj Close  \</t>
  </si>
  <si>
    <t>Date</t>
  </si>
  <si>
    <t>Netflix</t>
  </si>
  <si>
    <t>PDD</t>
  </si>
  <si>
    <t>FSLR</t>
  </si>
  <si>
    <t xml:space="preserve">Shell 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</si>
  <si>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</si>
  <si>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</si>
  <si>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</si>
  <si>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</si>
  <si>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</si>
  <si>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</si>
  <si>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</si>
  <si>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</si>
  <si>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</si>
  <si>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</si>
  <si>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</si>
  <si>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</si>
  <si>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</si>
  <si>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</si>
  <si>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</si>
  <si>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</si>
  <si>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</si>
  <si>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</si>
  <si>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</si>
  <si>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</si>
  <si>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</si>
  <si>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</si>
  <si>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Beta</t>
  </si>
  <si>
    <t>AMD</t>
  </si>
  <si>
    <t>Shell</t>
  </si>
  <si>
    <t xml:space="preserve">Seleted Stocks </t>
  </si>
  <si>
    <t xml:space="preserve">FC Monthly Excess Return </t>
  </si>
  <si>
    <t>Alpha (Forecast)</t>
  </si>
  <si>
    <t>Residual Variance</t>
  </si>
  <si>
    <t>Expected Monthly Excess Return</t>
  </si>
  <si>
    <t>Weight</t>
  </si>
  <si>
    <t>Initial  Weight (Alpha/Variance)</t>
  </si>
  <si>
    <t>Weight (IW/SUM)</t>
  </si>
  <si>
    <t>Sum</t>
  </si>
  <si>
    <t xml:space="preserve">Alpha (M) </t>
  </si>
  <si>
    <t>Variance</t>
  </si>
  <si>
    <t>Adjusted Weight for Each Stock</t>
  </si>
  <si>
    <t>Risk Premium</t>
  </si>
  <si>
    <t>SD</t>
  </si>
  <si>
    <t>Variance (%)</t>
  </si>
  <si>
    <t>Risk Free (%)</t>
  </si>
  <si>
    <t>Netflix (%)</t>
  </si>
  <si>
    <t>AMD (%)</t>
  </si>
  <si>
    <t>PDD(%)</t>
  </si>
  <si>
    <t>FSLR (%)</t>
  </si>
  <si>
    <t>Shell (%)</t>
  </si>
  <si>
    <t>Excess Market Return (%)</t>
  </si>
  <si>
    <t>E (Rm)</t>
  </si>
  <si>
    <t>Variance (Rm)</t>
  </si>
  <si>
    <t>SUMMARY OUTPUT</t>
  </si>
  <si>
    <t>Intercept</t>
  </si>
  <si>
    <t>SMB</t>
  </si>
  <si>
    <t>HML</t>
  </si>
  <si>
    <t>RF</t>
  </si>
  <si>
    <t>A</t>
  </si>
  <si>
    <t>B</t>
  </si>
  <si>
    <t>C</t>
  </si>
  <si>
    <t>D</t>
  </si>
  <si>
    <t>E</t>
  </si>
  <si>
    <t>Excess Market</t>
  </si>
  <si>
    <t>JNJ (%)</t>
  </si>
  <si>
    <t xml:space="preserve"> Return (%)</t>
  </si>
  <si>
    <t>JNJ</t>
  </si>
  <si>
    <t xml:space="preserve">Beta </t>
  </si>
  <si>
    <t>Std.Error</t>
  </si>
  <si>
    <t>f</t>
  </si>
  <si>
    <t>Individual Risk Premium</t>
  </si>
  <si>
    <t>Sharpe Ratio</t>
  </si>
  <si>
    <t>Final Weight for Market Portfolio</t>
  </si>
  <si>
    <t>Weights</t>
  </si>
  <si>
    <t>passive P</t>
  </si>
  <si>
    <t>Wa</t>
  </si>
  <si>
    <t>Wb</t>
  </si>
  <si>
    <t>Wc</t>
  </si>
  <si>
    <t>Wd</t>
  </si>
  <si>
    <t>We</t>
  </si>
  <si>
    <t>Wf</t>
  </si>
  <si>
    <t>Excess</t>
  </si>
  <si>
    <t>Active Portfolio</t>
  </si>
  <si>
    <t xml:space="preserve">Market Portfolio </t>
  </si>
  <si>
    <t xml:space="preserve">Active Portfolio </t>
  </si>
  <si>
    <t xml:space="preserve">Excess RP for Active Portfolio </t>
  </si>
  <si>
    <t>Market Portfolio</t>
  </si>
  <si>
    <t>Excess RP for market portfolio</t>
  </si>
  <si>
    <t>BMK Equity Curve</t>
  </si>
  <si>
    <t>Risk-Free (%)</t>
  </si>
  <si>
    <t xml:space="preserve">Active Portfolio  Excess Return (%) </t>
  </si>
  <si>
    <t xml:space="preserve">Both SMB and HML have high P-value for the null hypothesis that both equal to zero, so we fail to reject the null </t>
  </si>
  <si>
    <t>Neutral</t>
  </si>
  <si>
    <t>Value</t>
  </si>
  <si>
    <t>&lt;1</t>
  </si>
  <si>
    <t>&gt;1</t>
  </si>
  <si>
    <t>growth</t>
  </si>
  <si>
    <t>neutral</t>
  </si>
  <si>
    <t xml:space="preserve">In other words,  both SMB and HML are neutral </t>
  </si>
  <si>
    <t>This active portfolio has beta less than 1</t>
  </si>
  <si>
    <t>BMK beta</t>
  </si>
  <si>
    <t>Benchmark Return (%)</t>
  </si>
  <si>
    <t>Portfolio Equity Curve</t>
  </si>
  <si>
    <t>neutral to moderately defensive</t>
  </si>
  <si>
    <t>Sector</t>
  </si>
  <si>
    <t xml:space="preserve">Adj Close  </t>
  </si>
  <si>
    <t>ETF Return (%)</t>
  </si>
  <si>
    <t>ETF Excess Return (%)</t>
  </si>
  <si>
    <t>Energy</t>
  </si>
  <si>
    <t xml:space="preserve">Communication </t>
  </si>
  <si>
    <t>E-Commerce</t>
  </si>
  <si>
    <t>IT</t>
  </si>
  <si>
    <t>Technology</t>
  </si>
  <si>
    <t>Healthcare</t>
  </si>
  <si>
    <t>Position Trend</t>
  </si>
  <si>
    <t>(+)</t>
  </si>
  <si>
    <t>(-)</t>
  </si>
  <si>
    <t xml:space="preserve">22-23 Overall Return </t>
  </si>
  <si>
    <t>Active Portfolio Return (%)</t>
  </si>
  <si>
    <t>Investment Objective</t>
  </si>
  <si>
    <t>ETF Style</t>
  </si>
  <si>
    <t>To help clients to earn the profit as large as possible, while minimizing the risks as much as possible</t>
  </si>
  <si>
    <t>Predicted Alpha</t>
  </si>
  <si>
    <t>Investment Style</t>
  </si>
  <si>
    <t xml:space="preserve">Value </t>
  </si>
  <si>
    <t>Balance</t>
  </si>
  <si>
    <t>Growth</t>
  </si>
  <si>
    <t>Large</t>
  </si>
  <si>
    <t>Mid</t>
  </si>
  <si>
    <t xml:space="preserve">Small </t>
  </si>
  <si>
    <t xml:space="preserve"> so, the result in problem 10 is " mid-balance"</t>
  </si>
  <si>
    <t>Comments</t>
  </si>
  <si>
    <t>(Active Portfolio)</t>
  </si>
  <si>
    <t>22-23 Return</t>
  </si>
  <si>
    <t>Monthly Return</t>
  </si>
  <si>
    <t>Problem 3</t>
  </si>
  <si>
    <t>Problem 4  Regression Results</t>
  </si>
  <si>
    <t>Excess Netflix (%)</t>
  </si>
  <si>
    <t>Excess PDD (%)</t>
  </si>
  <si>
    <t>Excess AMD  (%)</t>
  </si>
  <si>
    <t>Excess FSLR (%)</t>
  </si>
  <si>
    <t>Excess Shell (%)</t>
  </si>
  <si>
    <t>Excess JNJ (%)</t>
  </si>
  <si>
    <t xml:space="preserve"> </t>
  </si>
  <si>
    <t>Ratio</t>
  </si>
  <si>
    <t>Market-Risk-Free</t>
  </si>
  <si>
    <t>/</t>
  </si>
  <si>
    <t>Weight in Active  Portfolio</t>
  </si>
  <si>
    <t>Financial Ratios</t>
  </si>
  <si>
    <t>$ 33.723 billion</t>
  </si>
  <si>
    <t xml:space="preserve">$ 48.732 billion </t>
  </si>
  <si>
    <t>lastest P/E</t>
  </si>
  <si>
    <t>Revenue (2023)</t>
  </si>
  <si>
    <t>Asset (2023)</t>
  </si>
  <si>
    <t>EPS (2023)</t>
  </si>
  <si>
    <t>EBITDA (2023)</t>
  </si>
  <si>
    <t>21.508 billion</t>
  </si>
  <si>
    <t>$13.356 billion</t>
  </si>
  <si>
    <t>4.481 billion</t>
  </si>
  <si>
    <t>$490.026 billion</t>
  </si>
  <si>
    <t xml:space="preserve">$ 22.68 billion </t>
  </si>
  <si>
    <t>3.955 billion</t>
  </si>
  <si>
    <t xml:space="preserve">$67.885 billion </t>
  </si>
  <si>
    <t>$3.319 billion</t>
  </si>
  <si>
    <t>1.165 billion</t>
  </si>
  <si>
    <t>$10.365 billion</t>
  </si>
  <si>
    <t>$323.183 billion</t>
  </si>
  <si>
    <t>$ 406.27 billion</t>
  </si>
  <si>
    <t>68.59 billion</t>
  </si>
  <si>
    <t>$ 85.159 billion</t>
  </si>
  <si>
    <t xml:space="preserve">$ 167.558 billion </t>
  </si>
  <si>
    <t>24.581 billion</t>
  </si>
  <si>
    <t xml:space="preserve">Active Portfolio Analysis </t>
  </si>
  <si>
    <t>ROE (2024/06/30)</t>
  </si>
  <si>
    <t xml:space="preserve">Current Ratio </t>
  </si>
  <si>
    <t>Beta of the active portfolio</t>
  </si>
  <si>
    <t>Initial Position=A/M (ratios)</t>
  </si>
  <si>
    <t xml:space="preserve">Adjusted Position for Active Portfolio </t>
  </si>
  <si>
    <t>Active Portfolio's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</si>
</sst>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164" formatCode="0.000%"/>
    <numFmt numFmtId="165" formatCode="0.000"/>
    <numFmt numFmtId="166" formatCode="0.0000"/>
    <numFmt numFmtId="167" formatCode="0.0000%"/>
    <numFmt numFmtId="168" formatCode="0.00000"/>
  </numFmts>
  <fonts count="11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Var(--jp-code-font-family)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5"/>
      <color theme="4"/>
      <name val="Calibri"/>
      <family val="2"/>
      <scheme val="minor"/>
    </font>
    <font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0" fillId="2" borderId="0" xfId="1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0" fontId="0" fillId="2" borderId="0" xfId="1" applyNumberFormat="1" applyFont="1" applyFill="1" applyAlignment="1">
      <alignment horizontal="center"/>
    </xf>
    <xf numFmtId="164" fontId="0" fillId="0" borderId="0" xfId="1" applyNumberFormat="1" applyFont="1" applyAlignment="1">
      <alignment horizontal="center"/>
    </xf>
    <xf numFmtId="165" fontId="0" fillId="0" borderId="0" xfId="0" applyNumberFormat="1"/>
    <xf numFmtId="2" fontId="0" fillId="0" borderId="0" xfId="0" applyNumberFormat="1"/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167" fontId="0" fillId="0" borderId="0" xfId="0" applyNumberFormat="1"/>
    <xf numFmtId="166" fontId="0" fillId="0" borderId="0" xfId="0" applyNumberFormat="1" applyAlignment="1">
      <alignment horizontal="center"/>
    </xf>
    <xf numFmtId="167" fontId="0" fillId="0" borderId="0" xfId="1" applyNumberFormat="1" applyFont="1"/>
    <xf numFmtId="164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2" fontId="5" fillId="0" borderId="0" xfId="0" applyNumberFormat="1" applyFont="1" applyAlignment="1">
      <alignment horizontal="centerContinuous"/>
    </xf>
    <xf numFmtId="2" fontId="4" fillId="0" borderId="0" xfId="0" applyNumberFormat="1" applyFont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3" borderId="1" xfId="0" applyFill="1" applyBorder="1"/>
    <xf numFmtId="2" fontId="0" fillId="3" borderId="0" xfId="0" applyNumberFormat="1" applyFill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166" fontId="0" fillId="0" borderId="0" xfId="0" applyNumberFormat="1"/>
    <xf numFmtId="168" fontId="0" fillId="0" borderId="0" xfId="0" applyNumberFormat="1" applyAlignment="1">
      <alignment horizontal="center"/>
    </xf>
    <xf numFmtId="0" fontId="0" fillId="5" borderId="0" xfId="0" applyFill="1"/>
    <xf numFmtId="2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0" fontId="0" fillId="7" borderId="3" xfId="0" applyFill="1" applyBorder="1"/>
    <xf numFmtId="0" fontId="9" fillId="0" borderId="0" xfId="0" applyFont="1"/>
    <xf numFmtId="0" fontId="0" fillId="8" borderId="0" xfId="0" applyFill="1"/>
    <xf numFmtId="164" fontId="0" fillId="8" borderId="0" xfId="1" applyNumberFormat="1" applyFont="1" applyFill="1"/>
    <xf numFmtId="2" fontId="0" fillId="8" borderId="0" xfId="0" applyNumberFormat="1" applyFill="1"/>
    <xf numFmtId="0" fontId="0" fillId="8" borderId="0" xfId="0" applyFill="1" applyAlignment="1">
      <alignment horizontal="center"/>
    </xf>
    <xf numFmtId="166" fontId="0" fillId="8" borderId="0" xfId="0" applyNumberFormat="1" applyFill="1" applyAlignment="1">
      <alignment horizontal="center"/>
    </xf>
    <xf numFmtId="165" fontId="0" fillId="8" borderId="0" xfId="0" applyNumberForma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10" fontId="0" fillId="0" borderId="0" xfId="1" applyNumberFormat="1" applyFont="1" applyAlignment="1">
      <alignment horizontal="center"/>
    </xf>
    <xf numFmtId="0" fontId="0" fillId="10" borderId="3" xfId="0" applyFill="1" applyBorder="1"/>
    <xf numFmtId="8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9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9" fontId="8" fillId="4" borderId="0" xfId="0" applyNumberFormat="1" applyFont="1" applyFill="1" applyAlignment="1">
      <alignment horizontal="center" vertical="center" wrapText="1"/>
    </xf>
    <xf numFmtId="2" fontId="3" fillId="9" borderId="0" xfId="0" applyNumberFormat="1" applyFont="1" applyFill="1" applyAlignment="1">
      <alignment horizontal="center" wrapText="1"/>
    </xf>
    <xf numFmtId="2" fontId="3" fillId="9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Five-Year Return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Visualization!$I$4</c:f>
              <c:strCache>
                <c:ptCount val="1"/>
                <c:pt idx="0">
                  <c:v>BMK Equity Curve</c:v>
                </c:pt>
              </c:strCache>
            </c:strRef>
          </c:tx>
          <c:spPr>
            <a:ln w="22225" cap="rnd">
              <a:solidFill>
                <a:schemeClr val="accent1">
                  <a:lumMod val="40000"/>
                  <a:lumOff val="60000"/>
                </a:schemeClr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Visualization!$B$6:$B$65</c15:sqref>
                  </c15:fullRef>
                </c:ext>
              </c:extLst>
              <c:f>(Visualization!$B$6:$B$28,Visualization!$B$30,Visualization!$B$42,Visualization!$B$52:$B$65)</c:f>
              <c:numCache>
                <c:formatCode>General</c:formatCode>
                <c:ptCount val="39"/>
                <c:pt idx="0">
                  <c:v>201901</c:v>
                </c:pt>
                <c:pt idx="1">
                  <c:v>201902</c:v>
                </c:pt>
                <c:pt idx="2">
                  <c:v>201903</c:v>
                </c:pt>
                <c:pt idx="3">
                  <c:v>201904</c:v>
                </c:pt>
                <c:pt idx="4">
                  <c:v>201905</c:v>
                </c:pt>
                <c:pt idx="5">
                  <c:v>201906</c:v>
                </c:pt>
                <c:pt idx="6">
                  <c:v>201907</c:v>
                </c:pt>
                <c:pt idx="7">
                  <c:v>201908</c:v>
                </c:pt>
                <c:pt idx="8">
                  <c:v>201909</c:v>
                </c:pt>
                <c:pt idx="9">
                  <c:v>201910</c:v>
                </c:pt>
                <c:pt idx="10">
                  <c:v>201911</c:v>
                </c:pt>
                <c:pt idx="11">
                  <c:v>201912</c:v>
                </c:pt>
                <c:pt idx="12">
                  <c:v>202001</c:v>
                </c:pt>
                <c:pt idx="13">
                  <c:v>202002</c:v>
                </c:pt>
                <c:pt idx="14">
                  <c:v>202003</c:v>
                </c:pt>
                <c:pt idx="15">
                  <c:v>202004</c:v>
                </c:pt>
                <c:pt idx="16">
                  <c:v>202005</c:v>
                </c:pt>
                <c:pt idx="17">
                  <c:v>202006</c:v>
                </c:pt>
                <c:pt idx="18">
                  <c:v>202007</c:v>
                </c:pt>
                <c:pt idx="19">
                  <c:v>202008</c:v>
                </c:pt>
                <c:pt idx="20">
                  <c:v>202009</c:v>
                </c:pt>
                <c:pt idx="21">
                  <c:v>202010</c:v>
                </c:pt>
                <c:pt idx="22">
                  <c:v>202011</c:v>
                </c:pt>
                <c:pt idx="23">
                  <c:v>202101</c:v>
                </c:pt>
                <c:pt idx="24">
                  <c:v>202201</c:v>
                </c:pt>
                <c:pt idx="25">
                  <c:v>202211</c:v>
                </c:pt>
                <c:pt idx="26">
                  <c:v>202212</c:v>
                </c:pt>
                <c:pt idx="27">
                  <c:v>202301</c:v>
                </c:pt>
                <c:pt idx="28">
                  <c:v>202302</c:v>
                </c:pt>
                <c:pt idx="29">
                  <c:v>202303</c:v>
                </c:pt>
                <c:pt idx="30">
                  <c:v>202304</c:v>
                </c:pt>
                <c:pt idx="31">
                  <c:v>202305</c:v>
                </c:pt>
                <c:pt idx="32">
                  <c:v>202306</c:v>
                </c:pt>
                <c:pt idx="33">
                  <c:v>202307</c:v>
                </c:pt>
                <c:pt idx="34">
                  <c:v>202308</c:v>
                </c:pt>
                <c:pt idx="35">
                  <c:v>202309</c:v>
                </c:pt>
                <c:pt idx="36">
                  <c:v>202310</c:v>
                </c:pt>
                <c:pt idx="37">
                  <c:v>202311</c:v>
                </c:pt>
                <c:pt idx="38">
                  <c:v>202312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Visualization!$I$5:$I$65</c15:sqref>
                  </c15:fullRef>
                </c:ext>
              </c:extLst>
              <c:f>(Visualization!$I$5:$I$27,Visualization!$I$29,Visualization!$I$41,Visualization!$I$51:$I$65)</c:f>
              <c:numCache>
                <c:formatCode>0.00000</c:formatCode>
                <c:ptCount val="40"/>
                <c:pt idx="0" formatCode="General">
                  <c:v>1</c:v>
                </c:pt>
                <c:pt idx="1">
                  <c:v>1.0742260217201269</c:v>
                </c:pt>
                <c:pt idx="2">
                  <c:v>1.1000616815643447</c:v>
                </c:pt>
                <c:pt idx="3">
                  <c:v>1.1330247716771358</c:v>
                </c:pt>
                <c:pt idx="4">
                  <c:v>1.1845591297857003</c:v>
                </c:pt>
                <c:pt idx="5">
                  <c:v>1.1079609591786497</c:v>
                </c:pt>
                <c:pt idx="6">
                  <c:v>1.1728558179685888</c:v>
                </c:pt>
                <c:pt idx="7">
                  <c:v>1.1970950342324866</c:v>
                </c:pt>
                <c:pt idx="8">
                  <c:v>1.179496209889221</c:v>
                </c:pt>
                <c:pt idx="9">
                  <c:v>1.1866120671141986</c:v>
                </c:pt>
                <c:pt idx="10">
                  <c:v>1.2301222811070978</c:v>
                </c:pt>
                <c:pt idx="11">
                  <c:v>1.2700513540471476</c:v>
                </c:pt>
                <c:pt idx="12">
                  <c:v>1.3072303236127472</c:v>
                </c:pt>
                <c:pt idx="13">
                  <c:v>1.341333532773519</c:v>
                </c:pt>
                <c:pt idx="14">
                  <c:v>1.2773598085693751</c:v>
                </c:pt>
                <c:pt idx="15">
                  <c:v>1.2020511211524789</c:v>
                </c:pt>
                <c:pt idx="16">
                  <c:v>1.3468452797199537</c:v>
                </c:pt>
                <c:pt idx="17">
                  <c:v>1.4172401035443136</c:v>
                </c:pt>
                <c:pt idx="18">
                  <c:v>1.4857200765028238</c:v>
                </c:pt>
                <c:pt idx="19">
                  <c:v>1.5743367080440114</c:v>
                </c:pt>
                <c:pt idx="20">
                  <c:v>1.7107499518718008</c:v>
                </c:pt>
                <c:pt idx="21">
                  <c:v>1.6325401555322183</c:v>
                </c:pt>
                <c:pt idx="22">
                  <c:v>1.5932296061221511</c:v>
                </c:pt>
                <c:pt idx="23">
                  <c:v>1.7995689898866085</c:v>
                </c:pt>
                <c:pt idx="24">
                  <c:v>2.1846077003108411</c:v>
                </c:pt>
                <c:pt idx="25">
                  <c:v>1.6659695750693477</c:v>
                </c:pt>
                <c:pt idx="26">
                  <c:v>1.7400824001810622</c:v>
                </c:pt>
                <c:pt idx="27">
                  <c:v>1.6141444762532451</c:v>
                </c:pt>
                <c:pt idx="28">
                  <c:v>1.7546793744661866</c:v>
                </c:pt>
                <c:pt idx="29">
                  <c:v>1.7509266989146028</c:v>
                </c:pt>
                <c:pt idx="30">
                  <c:v>1.8814504268308936</c:v>
                </c:pt>
                <c:pt idx="31">
                  <c:v>1.8927039986128322</c:v>
                </c:pt>
                <c:pt idx="32">
                  <c:v>2.0122292335930241</c:v>
                </c:pt>
                <c:pt idx="33">
                  <c:v>2.1119878307397144</c:v>
                </c:pt>
                <c:pt idx="34">
                  <c:v>2.1808774069616916</c:v>
                </c:pt>
                <c:pt idx="35">
                  <c:v>2.1573247008670586</c:v>
                </c:pt>
                <c:pt idx="36">
                  <c:v>2.0701765785821054</c:v>
                </c:pt>
                <c:pt idx="37">
                  <c:v>2.0406846115486594</c:v>
                </c:pt>
                <c:pt idx="38">
                  <c:v>2.2173017004504545</c:v>
                </c:pt>
                <c:pt idx="39">
                  <c:v>2.312673880893215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29-42BA-A7DA-2C95BAAB5F4C}"/>
            </c:ext>
          </c:extLst>
        </c:ser>
        <c:ser>
          <c:idx val="1"/>
          <c:order val="1"/>
          <c:tx>
            <c:strRef>
              <c:f>Visualization!$J$4</c:f>
              <c:strCache>
                <c:ptCount val="1"/>
                <c:pt idx="0">
                  <c:v>Portfolio Equity Curve</c:v>
                </c:pt>
              </c:strCache>
            </c:strRef>
          </c:tx>
          <c:spPr>
            <a:ln w="22225" cap="rnd">
              <a:solidFill>
                <a:schemeClr val="accent6">
                  <a:lumMod val="20000"/>
                  <a:lumOff val="80000"/>
                </a:schemeClr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Visualization!$B$6:$B$65</c15:sqref>
                  </c15:fullRef>
                </c:ext>
              </c:extLst>
              <c:f>(Visualization!$B$6:$B$28,Visualization!$B$30,Visualization!$B$42,Visualization!$B$52:$B$65)</c:f>
              <c:numCache>
                <c:formatCode>General</c:formatCode>
                <c:ptCount val="39"/>
                <c:pt idx="0">
                  <c:v>201901</c:v>
                </c:pt>
                <c:pt idx="1">
                  <c:v>201902</c:v>
                </c:pt>
                <c:pt idx="2">
                  <c:v>201903</c:v>
                </c:pt>
                <c:pt idx="3">
                  <c:v>201904</c:v>
                </c:pt>
                <c:pt idx="4">
                  <c:v>201905</c:v>
                </c:pt>
                <c:pt idx="5">
                  <c:v>201906</c:v>
                </c:pt>
                <c:pt idx="6">
                  <c:v>201907</c:v>
                </c:pt>
                <c:pt idx="7">
                  <c:v>201908</c:v>
                </c:pt>
                <c:pt idx="8">
                  <c:v>201909</c:v>
                </c:pt>
                <c:pt idx="9">
                  <c:v>201910</c:v>
                </c:pt>
                <c:pt idx="10">
                  <c:v>201911</c:v>
                </c:pt>
                <c:pt idx="11">
                  <c:v>201912</c:v>
                </c:pt>
                <c:pt idx="12">
                  <c:v>202001</c:v>
                </c:pt>
                <c:pt idx="13">
                  <c:v>202002</c:v>
                </c:pt>
                <c:pt idx="14">
                  <c:v>202003</c:v>
                </c:pt>
                <c:pt idx="15">
                  <c:v>202004</c:v>
                </c:pt>
                <c:pt idx="16">
                  <c:v>202005</c:v>
                </c:pt>
                <c:pt idx="17">
                  <c:v>202006</c:v>
                </c:pt>
                <c:pt idx="18">
                  <c:v>202007</c:v>
                </c:pt>
                <c:pt idx="19">
                  <c:v>202008</c:v>
                </c:pt>
                <c:pt idx="20">
                  <c:v>202009</c:v>
                </c:pt>
                <c:pt idx="21">
                  <c:v>202010</c:v>
                </c:pt>
                <c:pt idx="22">
                  <c:v>202011</c:v>
                </c:pt>
                <c:pt idx="23">
                  <c:v>202101</c:v>
                </c:pt>
                <c:pt idx="24">
                  <c:v>202201</c:v>
                </c:pt>
                <c:pt idx="25">
                  <c:v>202211</c:v>
                </c:pt>
                <c:pt idx="26">
                  <c:v>202212</c:v>
                </c:pt>
                <c:pt idx="27">
                  <c:v>202301</c:v>
                </c:pt>
                <c:pt idx="28">
                  <c:v>202302</c:v>
                </c:pt>
                <c:pt idx="29">
                  <c:v>202303</c:v>
                </c:pt>
                <c:pt idx="30">
                  <c:v>202304</c:v>
                </c:pt>
                <c:pt idx="31">
                  <c:v>202305</c:v>
                </c:pt>
                <c:pt idx="32">
                  <c:v>202306</c:v>
                </c:pt>
                <c:pt idx="33">
                  <c:v>202307</c:v>
                </c:pt>
                <c:pt idx="34">
                  <c:v>202308</c:v>
                </c:pt>
                <c:pt idx="35">
                  <c:v>202309</c:v>
                </c:pt>
                <c:pt idx="36">
                  <c:v>202310</c:v>
                </c:pt>
                <c:pt idx="37">
                  <c:v>202311</c:v>
                </c:pt>
                <c:pt idx="38">
                  <c:v>202312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Visualization!$J$5:$J$65</c15:sqref>
                  </c15:fullRef>
                </c:ext>
              </c:extLst>
              <c:f>(Visualization!$J$5:$J$27,Visualization!$J$29,Visualization!$J$41,Visualization!$J$51:$J$65)</c:f>
              <c:numCache>
                <c:formatCode>General</c:formatCode>
                <c:ptCount val="40"/>
                <c:pt idx="0">
                  <c:v>1</c:v>
                </c:pt>
                <c:pt idx="1">
                  <c:v>1.1365123776220858</c:v>
                </c:pt>
                <c:pt idx="2">
                  <c:v>1.163745920015228</c:v>
                </c:pt>
                <c:pt idx="3">
                  <c:v>1.1771279461221351</c:v>
                </c:pt>
                <c:pt idx="4">
                  <c:v>1.2232267240997732</c:v>
                </c:pt>
                <c:pt idx="5">
                  <c:v>1.1532717213859895</c:v>
                </c:pt>
                <c:pt idx="6">
                  <c:v>1.2414176471759777</c:v>
                </c:pt>
                <c:pt idx="7">
                  <c:v>1.1981163352931625</c:v>
                </c:pt>
                <c:pt idx="8">
                  <c:v>1.169780946437768</c:v>
                </c:pt>
                <c:pt idx="9">
                  <c:v>1.1582954350401673</c:v>
                </c:pt>
                <c:pt idx="10">
                  <c:v>1.1969573659926684</c:v>
                </c:pt>
                <c:pt idx="11">
                  <c:v>1.2517582519559518</c:v>
                </c:pt>
                <c:pt idx="12">
                  <c:v>1.3152576244727239</c:v>
                </c:pt>
                <c:pt idx="13">
                  <c:v>1.2890609085493905</c:v>
                </c:pt>
                <c:pt idx="14">
                  <c:v>1.2011809531786046</c:v>
                </c:pt>
                <c:pt idx="15">
                  <c:v>1.095770089789033</c:v>
                </c:pt>
                <c:pt idx="16">
                  <c:v>1.2249903508623725</c:v>
                </c:pt>
                <c:pt idx="17">
                  <c:v>1.2587457275565574</c:v>
                </c:pt>
                <c:pt idx="18">
                  <c:v>1.2911696385483151</c:v>
                </c:pt>
                <c:pt idx="19">
                  <c:v>1.3976183475504329</c:v>
                </c:pt>
                <c:pt idx="20">
                  <c:v>1.5131131600883043</c:v>
                </c:pt>
                <c:pt idx="21">
                  <c:v>1.3927813370329258</c:v>
                </c:pt>
                <c:pt idx="22">
                  <c:v>1.4023817868624557</c:v>
                </c:pt>
                <c:pt idx="23">
                  <c:v>1.7341181699574306</c:v>
                </c:pt>
                <c:pt idx="24">
                  <c:v>1.9836228648053795</c:v>
                </c:pt>
                <c:pt idx="25">
                  <c:v>1.8971812020674588</c:v>
                </c:pt>
                <c:pt idx="26">
                  <c:v>2.0854748391419555</c:v>
                </c:pt>
                <c:pt idx="27">
                  <c:v>1.9786150793921486</c:v>
                </c:pt>
                <c:pt idx="28">
                  <c:v>2.1227349072112229</c:v>
                </c:pt>
                <c:pt idx="29">
                  <c:v>2.0579673793549906</c:v>
                </c:pt>
                <c:pt idx="30">
                  <c:v>2.1764050416826564</c:v>
                </c:pt>
                <c:pt idx="31">
                  <c:v>2.1636575590473748</c:v>
                </c:pt>
                <c:pt idx="32">
                  <c:v>2.2484996314934587</c:v>
                </c:pt>
                <c:pt idx="33">
                  <c:v>2.3710796043625875</c:v>
                </c:pt>
                <c:pt idx="34">
                  <c:v>2.455626102717023</c:v>
                </c:pt>
                <c:pt idx="35">
                  <c:v>2.3958591986698816</c:v>
                </c:pt>
                <c:pt idx="36">
                  <c:v>2.2867844812621603</c:v>
                </c:pt>
                <c:pt idx="37">
                  <c:v>2.2498660603411484</c:v>
                </c:pt>
                <c:pt idx="38">
                  <c:v>2.4823223845224702</c:v>
                </c:pt>
                <c:pt idx="39">
                  <c:v>2.6035294992336446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29-42BA-A7DA-2C95BAAB5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8167264"/>
        <c:axId val="1578161024"/>
      </c:lineChart>
      <c:catAx>
        <c:axId val="15781672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161024"/>
        <c:crosses val="autoZero"/>
        <c:auto val="1"/>
        <c:lblAlgn val="ctr"/>
        <c:lblOffset val="100"/>
        <c:noMultiLvlLbl val="0"/>
      </c:catAx>
      <c:valAx>
        <c:axId val="1578161024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16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Five-Year Return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Visualization!$I$4</c:f>
              <c:strCache>
                <c:ptCount val="1"/>
                <c:pt idx="0">
                  <c:v>BMK Equity Curve</c:v>
                </c:pt>
              </c:strCache>
            </c:strRef>
          </c:tx>
          <c:spPr>
            <a:ln w="22225" cap="rnd">
              <a:solidFill>
                <a:schemeClr val="accent1">
                  <a:lumMod val="40000"/>
                  <a:lumOff val="60000"/>
                </a:schemeClr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Visualization!$B$6:$B$65</c15:sqref>
                  </c15:fullRef>
                </c:ext>
              </c:extLst>
              <c:f>(Visualization!$B$6:$B$28,Visualization!$B$30,Visualization!$B$42,Visualization!$B$52:$B$65)</c:f>
              <c:numCache>
                <c:formatCode>General</c:formatCode>
                <c:ptCount val="39"/>
                <c:pt idx="0">
                  <c:v>201901</c:v>
                </c:pt>
                <c:pt idx="1">
                  <c:v>201902</c:v>
                </c:pt>
                <c:pt idx="2">
                  <c:v>201903</c:v>
                </c:pt>
                <c:pt idx="3">
                  <c:v>201904</c:v>
                </c:pt>
                <c:pt idx="4">
                  <c:v>201905</c:v>
                </c:pt>
                <c:pt idx="5">
                  <c:v>201906</c:v>
                </c:pt>
                <c:pt idx="6">
                  <c:v>201907</c:v>
                </c:pt>
                <c:pt idx="7">
                  <c:v>201908</c:v>
                </c:pt>
                <c:pt idx="8">
                  <c:v>201909</c:v>
                </c:pt>
                <c:pt idx="9">
                  <c:v>201910</c:v>
                </c:pt>
                <c:pt idx="10">
                  <c:v>201911</c:v>
                </c:pt>
                <c:pt idx="11">
                  <c:v>201912</c:v>
                </c:pt>
                <c:pt idx="12">
                  <c:v>202001</c:v>
                </c:pt>
                <c:pt idx="13">
                  <c:v>202002</c:v>
                </c:pt>
                <c:pt idx="14">
                  <c:v>202003</c:v>
                </c:pt>
                <c:pt idx="15">
                  <c:v>202004</c:v>
                </c:pt>
                <c:pt idx="16">
                  <c:v>202005</c:v>
                </c:pt>
                <c:pt idx="17">
                  <c:v>202006</c:v>
                </c:pt>
                <c:pt idx="18">
                  <c:v>202007</c:v>
                </c:pt>
                <c:pt idx="19">
                  <c:v>202008</c:v>
                </c:pt>
                <c:pt idx="20">
                  <c:v>202009</c:v>
                </c:pt>
                <c:pt idx="21">
                  <c:v>202010</c:v>
                </c:pt>
                <c:pt idx="22">
                  <c:v>202011</c:v>
                </c:pt>
                <c:pt idx="23">
                  <c:v>202101</c:v>
                </c:pt>
                <c:pt idx="24">
                  <c:v>202201</c:v>
                </c:pt>
                <c:pt idx="25">
                  <c:v>202211</c:v>
                </c:pt>
                <c:pt idx="26">
                  <c:v>202212</c:v>
                </c:pt>
                <c:pt idx="27">
                  <c:v>202301</c:v>
                </c:pt>
                <c:pt idx="28">
                  <c:v>202302</c:v>
                </c:pt>
                <c:pt idx="29">
                  <c:v>202303</c:v>
                </c:pt>
                <c:pt idx="30">
                  <c:v>202304</c:v>
                </c:pt>
                <c:pt idx="31">
                  <c:v>202305</c:v>
                </c:pt>
                <c:pt idx="32">
                  <c:v>202306</c:v>
                </c:pt>
                <c:pt idx="33">
                  <c:v>202307</c:v>
                </c:pt>
                <c:pt idx="34">
                  <c:v>202308</c:v>
                </c:pt>
                <c:pt idx="35">
                  <c:v>202309</c:v>
                </c:pt>
                <c:pt idx="36">
                  <c:v>202310</c:v>
                </c:pt>
                <c:pt idx="37">
                  <c:v>202311</c:v>
                </c:pt>
                <c:pt idx="38">
                  <c:v>202312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Visualization!$I$5:$I$65</c15:sqref>
                  </c15:fullRef>
                </c:ext>
              </c:extLst>
              <c:f>(Visualization!$I$5:$I$27,Visualization!$I$29,Visualization!$I$41,Visualization!$I$51:$I$65)</c:f>
              <c:numCache>
                <c:formatCode>0.00000</c:formatCode>
                <c:ptCount val="40"/>
                <c:pt idx="0" formatCode="General">
                  <c:v>1</c:v>
                </c:pt>
                <c:pt idx="1">
                  <c:v>1.0742260217201269</c:v>
                </c:pt>
                <c:pt idx="2">
                  <c:v>1.1000616815643447</c:v>
                </c:pt>
                <c:pt idx="3">
                  <c:v>1.1330247716771358</c:v>
                </c:pt>
                <c:pt idx="4">
                  <c:v>1.1845591297857003</c:v>
                </c:pt>
                <c:pt idx="5">
                  <c:v>1.1079609591786497</c:v>
                </c:pt>
                <c:pt idx="6">
                  <c:v>1.1728558179685888</c:v>
                </c:pt>
                <c:pt idx="7">
                  <c:v>1.1970950342324866</c:v>
                </c:pt>
                <c:pt idx="8">
                  <c:v>1.179496209889221</c:v>
                </c:pt>
                <c:pt idx="9">
                  <c:v>1.1866120671141986</c:v>
                </c:pt>
                <c:pt idx="10">
                  <c:v>1.2301222811070978</c:v>
                </c:pt>
                <c:pt idx="11">
                  <c:v>1.2700513540471476</c:v>
                </c:pt>
                <c:pt idx="12">
                  <c:v>1.3072303236127472</c:v>
                </c:pt>
                <c:pt idx="13">
                  <c:v>1.341333532773519</c:v>
                </c:pt>
                <c:pt idx="14">
                  <c:v>1.2773598085693751</c:v>
                </c:pt>
                <c:pt idx="15">
                  <c:v>1.2020511211524789</c:v>
                </c:pt>
                <c:pt idx="16">
                  <c:v>1.3468452797199537</c:v>
                </c:pt>
                <c:pt idx="17">
                  <c:v>1.4172401035443136</c:v>
                </c:pt>
                <c:pt idx="18">
                  <c:v>1.4857200765028238</c:v>
                </c:pt>
                <c:pt idx="19">
                  <c:v>1.5743367080440114</c:v>
                </c:pt>
                <c:pt idx="20">
                  <c:v>1.7107499518718008</c:v>
                </c:pt>
                <c:pt idx="21">
                  <c:v>1.6325401555322183</c:v>
                </c:pt>
                <c:pt idx="22">
                  <c:v>1.5932296061221511</c:v>
                </c:pt>
                <c:pt idx="23">
                  <c:v>1.7995689898866085</c:v>
                </c:pt>
                <c:pt idx="24">
                  <c:v>2.1846077003108411</c:v>
                </c:pt>
                <c:pt idx="25">
                  <c:v>1.6659695750693477</c:v>
                </c:pt>
                <c:pt idx="26">
                  <c:v>1.7400824001810622</c:v>
                </c:pt>
                <c:pt idx="27">
                  <c:v>1.6141444762532451</c:v>
                </c:pt>
                <c:pt idx="28">
                  <c:v>1.7546793744661866</c:v>
                </c:pt>
                <c:pt idx="29">
                  <c:v>1.7509266989146028</c:v>
                </c:pt>
                <c:pt idx="30">
                  <c:v>1.8814504268308936</c:v>
                </c:pt>
                <c:pt idx="31">
                  <c:v>1.8927039986128322</c:v>
                </c:pt>
                <c:pt idx="32">
                  <c:v>2.0122292335930241</c:v>
                </c:pt>
                <c:pt idx="33">
                  <c:v>2.1119878307397144</c:v>
                </c:pt>
                <c:pt idx="34">
                  <c:v>2.1808774069616916</c:v>
                </c:pt>
                <c:pt idx="35">
                  <c:v>2.1573247008670586</c:v>
                </c:pt>
                <c:pt idx="36">
                  <c:v>2.0701765785821054</c:v>
                </c:pt>
                <c:pt idx="37">
                  <c:v>2.0406846115486594</c:v>
                </c:pt>
                <c:pt idx="38">
                  <c:v>2.2173017004504545</c:v>
                </c:pt>
                <c:pt idx="39">
                  <c:v>2.312673880893215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43-47B5-B372-F5394C01D48F}"/>
            </c:ext>
          </c:extLst>
        </c:ser>
        <c:ser>
          <c:idx val="1"/>
          <c:order val="1"/>
          <c:tx>
            <c:strRef>
              <c:f>Visualization!$J$4</c:f>
              <c:strCache>
                <c:ptCount val="1"/>
                <c:pt idx="0">
                  <c:v>Portfolio Equity Curve</c:v>
                </c:pt>
              </c:strCache>
            </c:strRef>
          </c:tx>
          <c:spPr>
            <a:ln w="22225" cap="rnd">
              <a:solidFill>
                <a:schemeClr val="accent6">
                  <a:lumMod val="20000"/>
                  <a:lumOff val="80000"/>
                </a:schemeClr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Visualization!$B$6:$B$65</c15:sqref>
                  </c15:fullRef>
                </c:ext>
              </c:extLst>
              <c:f>(Visualization!$B$6:$B$28,Visualization!$B$30,Visualization!$B$42,Visualization!$B$52:$B$65)</c:f>
              <c:numCache>
                <c:formatCode>General</c:formatCode>
                <c:ptCount val="39"/>
                <c:pt idx="0">
                  <c:v>201901</c:v>
                </c:pt>
                <c:pt idx="1">
                  <c:v>201902</c:v>
                </c:pt>
                <c:pt idx="2">
                  <c:v>201903</c:v>
                </c:pt>
                <c:pt idx="3">
                  <c:v>201904</c:v>
                </c:pt>
                <c:pt idx="4">
                  <c:v>201905</c:v>
                </c:pt>
                <c:pt idx="5">
                  <c:v>201906</c:v>
                </c:pt>
                <c:pt idx="6">
                  <c:v>201907</c:v>
                </c:pt>
                <c:pt idx="7">
                  <c:v>201908</c:v>
                </c:pt>
                <c:pt idx="8">
                  <c:v>201909</c:v>
                </c:pt>
                <c:pt idx="9">
                  <c:v>201910</c:v>
                </c:pt>
                <c:pt idx="10">
                  <c:v>201911</c:v>
                </c:pt>
                <c:pt idx="11">
                  <c:v>201912</c:v>
                </c:pt>
                <c:pt idx="12">
                  <c:v>202001</c:v>
                </c:pt>
                <c:pt idx="13">
                  <c:v>202002</c:v>
                </c:pt>
                <c:pt idx="14">
                  <c:v>202003</c:v>
                </c:pt>
                <c:pt idx="15">
                  <c:v>202004</c:v>
                </c:pt>
                <c:pt idx="16">
                  <c:v>202005</c:v>
                </c:pt>
                <c:pt idx="17">
                  <c:v>202006</c:v>
                </c:pt>
                <c:pt idx="18">
                  <c:v>202007</c:v>
                </c:pt>
                <c:pt idx="19">
                  <c:v>202008</c:v>
                </c:pt>
                <c:pt idx="20">
                  <c:v>202009</c:v>
                </c:pt>
                <c:pt idx="21">
                  <c:v>202010</c:v>
                </c:pt>
                <c:pt idx="22">
                  <c:v>202011</c:v>
                </c:pt>
                <c:pt idx="23">
                  <c:v>202101</c:v>
                </c:pt>
                <c:pt idx="24">
                  <c:v>202201</c:v>
                </c:pt>
                <c:pt idx="25">
                  <c:v>202211</c:v>
                </c:pt>
                <c:pt idx="26">
                  <c:v>202212</c:v>
                </c:pt>
                <c:pt idx="27">
                  <c:v>202301</c:v>
                </c:pt>
                <c:pt idx="28">
                  <c:v>202302</c:v>
                </c:pt>
                <c:pt idx="29">
                  <c:v>202303</c:v>
                </c:pt>
                <c:pt idx="30">
                  <c:v>202304</c:v>
                </c:pt>
                <c:pt idx="31">
                  <c:v>202305</c:v>
                </c:pt>
                <c:pt idx="32">
                  <c:v>202306</c:v>
                </c:pt>
                <c:pt idx="33">
                  <c:v>202307</c:v>
                </c:pt>
                <c:pt idx="34">
                  <c:v>202308</c:v>
                </c:pt>
                <c:pt idx="35">
                  <c:v>202309</c:v>
                </c:pt>
                <c:pt idx="36">
                  <c:v>202310</c:v>
                </c:pt>
                <c:pt idx="37">
                  <c:v>202311</c:v>
                </c:pt>
                <c:pt idx="38">
                  <c:v>202312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Visualization!$J$5:$J$65</c15:sqref>
                  </c15:fullRef>
                </c:ext>
              </c:extLst>
              <c:f>(Visualization!$J$5:$J$27,Visualization!$J$29,Visualization!$J$41,Visualization!$J$51:$J$65)</c:f>
              <c:numCache>
                <c:formatCode>General</c:formatCode>
                <c:ptCount val="40"/>
                <c:pt idx="0">
                  <c:v>1</c:v>
                </c:pt>
                <c:pt idx="1">
                  <c:v>1.1365123776220858</c:v>
                </c:pt>
                <c:pt idx="2">
                  <c:v>1.163745920015228</c:v>
                </c:pt>
                <c:pt idx="3">
                  <c:v>1.1771279461221351</c:v>
                </c:pt>
                <c:pt idx="4">
                  <c:v>1.2232267240997732</c:v>
                </c:pt>
                <c:pt idx="5">
                  <c:v>1.1532717213859895</c:v>
                </c:pt>
                <c:pt idx="6">
                  <c:v>1.2414176471759777</c:v>
                </c:pt>
                <c:pt idx="7">
                  <c:v>1.1981163352931625</c:v>
                </c:pt>
                <c:pt idx="8">
                  <c:v>1.169780946437768</c:v>
                </c:pt>
                <c:pt idx="9">
                  <c:v>1.1582954350401673</c:v>
                </c:pt>
                <c:pt idx="10">
                  <c:v>1.1969573659926684</c:v>
                </c:pt>
                <c:pt idx="11">
                  <c:v>1.2517582519559518</c:v>
                </c:pt>
                <c:pt idx="12">
                  <c:v>1.3152576244727239</c:v>
                </c:pt>
                <c:pt idx="13">
                  <c:v>1.2890609085493905</c:v>
                </c:pt>
                <c:pt idx="14">
                  <c:v>1.2011809531786046</c:v>
                </c:pt>
                <c:pt idx="15">
                  <c:v>1.095770089789033</c:v>
                </c:pt>
                <c:pt idx="16">
                  <c:v>1.2249903508623725</c:v>
                </c:pt>
                <c:pt idx="17">
                  <c:v>1.2587457275565574</c:v>
                </c:pt>
                <c:pt idx="18">
                  <c:v>1.2911696385483151</c:v>
                </c:pt>
                <c:pt idx="19">
                  <c:v>1.3976183475504329</c:v>
                </c:pt>
                <c:pt idx="20">
                  <c:v>1.5131131600883043</c:v>
                </c:pt>
                <c:pt idx="21">
                  <c:v>1.3927813370329258</c:v>
                </c:pt>
                <c:pt idx="22">
                  <c:v>1.4023817868624557</c:v>
                </c:pt>
                <c:pt idx="23">
                  <c:v>1.7341181699574306</c:v>
                </c:pt>
                <c:pt idx="24">
                  <c:v>1.9836228648053795</c:v>
                </c:pt>
                <c:pt idx="25">
                  <c:v>1.8971812020674588</c:v>
                </c:pt>
                <c:pt idx="26">
                  <c:v>2.0854748391419555</c:v>
                </c:pt>
                <c:pt idx="27">
                  <c:v>1.9786150793921486</c:v>
                </c:pt>
                <c:pt idx="28">
                  <c:v>2.1227349072112229</c:v>
                </c:pt>
                <c:pt idx="29">
                  <c:v>2.0579673793549906</c:v>
                </c:pt>
                <c:pt idx="30">
                  <c:v>2.1764050416826564</c:v>
                </c:pt>
                <c:pt idx="31">
                  <c:v>2.1636575590473748</c:v>
                </c:pt>
                <c:pt idx="32">
                  <c:v>2.2484996314934587</c:v>
                </c:pt>
                <c:pt idx="33">
                  <c:v>2.3710796043625875</c:v>
                </c:pt>
                <c:pt idx="34">
                  <c:v>2.455626102717023</c:v>
                </c:pt>
                <c:pt idx="35">
                  <c:v>2.3958591986698816</c:v>
                </c:pt>
                <c:pt idx="36">
                  <c:v>2.2867844812621603</c:v>
                </c:pt>
                <c:pt idx="37">
                  <c:v>2.2498660603411484</c:v>
                </c:pt>
                <c:pt idx="38">
                  <c:v>2.4823223845224702</c:v>
                </c:pt>
                <c:pt idx="39">
                  <c:v>2.6035294992336446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43-47B5-B372-F5394C01D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8167264"/>
        <c:axId val="1578161024"/>
      </c:lineChart>
      <c:catAx>
        <c:axId val="15781672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161024"/>
        <c:crosses val="autoZero"/>
        <c:auto val="1"/>
        <c:lblAlgn val="ctr"/>
        <c:lblOffset val="100"/>
        <c:noMultiLvlLbl val="0"/>
      </c:catAx>
      <c:valAx>
        <c:axId val="1578161024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16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281940</xdr:colOff>
      <xdr:row>0</xdr:row>
      <xdr:rowOff>60960</xdr:rowOff>
    </xdr:from>
    <xdr:to>
      <xdr:col>1</xdr:col>
      <xdr:colOff>586740</xdr:colOff>
      <xdr:row>2</xdr:row>
      <xdr:rowOff>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21E9255C-DD25-D862-208E-16FD414B05B8}"/>
            </a:ext>
          </a:extLst>
        </xdr:cNvPr>
        <xdr:cNvSpPr>
          <a:spLocks noChangeAspect="1" noChangeArrowheads="1"/>
        </xdr:cNvSpPr>
      </xdr:nvSpPr>
      <xdr:spPr bwMode="auto">
        <a:xfrm>
          <a:off x="891540" y="6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167640</xdr:colOff>
      <xdr:row>1</xdr:row>
      <xdr:rowOff>22860</xdr:rowOff>
    </xdr:from>
    <xdr:to>
      <xdr:col>14</xdr:col>
      <xdr:colOff>472440</xdr:colOff>
      <xdr:row>2</xdr:row>
      <xdr:rowOff>144780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DD84CAC4-CCD5-4A2C-8C33-0DEAFB6785B6}"/>
            </a:ext>
          </a:extLst>
        </xdr:cNvPr>
        <xdr:cNvSpPr>
          <a:spLocks noChangeAspect="1" noChangeArrowheads="1"/>
        </xdr:cNvSpPr>
      </xdr:nvSpPr>
      <xdr:spPr bwMode="auto">
        <a:xfrm>
          <a:off x="9075420" y="20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533400</xdr:colOff>
      <xdr:row>14</xdr:row>
      <xdr:rowOff>3810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4DF225-7819-4C2B-A1C4-6E170F25C886}"/>
            </a:ext>
          </a:extLst>
        </xdr:cNvPr>
        <xdr:cNvSpPr txBox="1"/>
      </xdr:nvSpPr>
      <xdr:spPr>
        <a:xfrm>
          <a:off x="5699760" y="25641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CA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129540</xdr:colOff>
      <xdr:row>12</xdr:row>
      <xdr:rowOff>80010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300173-0710-3C11-909F-D65F025EFC2A}"/>
            </a:ext>
          </a:extLst>
        </xdr:cNvPr>
        <xdr:cNvSpPr txBox="1"/>
      </xdr:nvSpPr>
      <xdr:spPr>
        <a:xfrm>
          <a:off x="6629400" y="2274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CA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129540</xdr:colOff>
      <xdr:row>12</xdr:row>
      <xdr:rowOff>80010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732A25-E417-409E-B845-87EDE3CC76E1}"/>
            </a:ext>
          </a:extLst>
        </xdr:cNvPr>
        <xdr:cNvSpPr txBox="1"/>
      </xdr:nvSpPr>
      <xdr:spPr>
        <a:xfrm>
          <a:off x="6629400" y="2274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CA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4</xdr:row>
      <xdr:rowOff>34290</xdr:rowOff>
    </xdr:from>
    <xdr:to>
      <xdr:col>25</xdr:col>
      <xdr:colOff>266700</xdr:colOff>
      <xdr:row>39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D7A09A-F2C1-977D-D7AE-B4A28C9EE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9</xdr:col>
      <xdr:colOff>83820</xdr:colOff>
      <xdr:row>21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072201-CB4F-4BDB-BF26-D31755135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4021-A5F4-4172-A9E3-32DBECD9CFA2}">
  <dimension ref="B2:H65"/>
  <sheetViews>
    <sheetView workbookViewId="0">
      <selection activeCell="H2" sqref="H2"/>
    </sheetView>
  </sheetViews>
  <sheetFormatPr defaultRowHeight="14.4"/>
  <cols>
    <col min="2" max="2" width="21.5546875" style="2" customWidth="1"/>
    <col min="3" max="3" width="15.77734375" customWidth="1"/>
    <col min="4" max="4" width="12.5546875" bestFit="1" customWidth="1"/>
    <col min="5" max="5" width="8.88671875" customWidth="1"/>
    <col min="6" max="6" width="12.5546875" bestFit="1" customWidth="1"/>
    <col min="7" max="7" width="16.6640625" customWidth="1"/>
    <col min="8" max="8" width="16.44140625" style="2" customWidth="1"/>
  </cols>
  <sheetData>
    <row r="2" spans="2:8">
      <c r="B2" s="2" t="s">
        <v>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7" t="s">
        <v>140</v>
      </c>
    </row>
    <row r="3" spans="2:8">
      <c r="B3" s="5">
        <v>43435</v>
      </c>
      <c r="C3" s="1">
        <v>293.19000199999999</v>
      </c>
      <c r="D3" s="1">
        <v>298.72000100000002</v>
      </c>
      <c r="E3" s="1">
        <v>231.229996</v>
      </c>
      <c r="F3" s="1">
        <v>267.66000400000001</v>
      </c>
      <c r="G3" s="1">
        <v>267.66000400000001</v>
      </c>
      <c r="H3" s="7"/>
    </row>
    <row r="4" spans="2:8">
      <c r="B4" s="5">
        <v>43466</v>
      </c>
      <c r="C4" s="1">
        <v>259.27999899999998</v>
      </c>
      <c r="D4" s="1">
        <v>358.85000600000001</v>
      </c>
      <c r="E4" s="1">
        <v>256.57998700000002</v>
      </c>
      <c r="F4" s="1">
        <v>339.5</v>
      </c>
      <c r="G4" s="1">
        <v>339.5</v>
      </c>
      <c r="H4" s="6">
        <f>(G4-G3)/G3</f>
        <v>0.26840019026525896</v>
      </c>
    </row>
    <row r="5" spans="2:8">
      <c r="B5" s="5">
        <v>43497</v>
      </c>
      <c r="C5" s="1">
        <v>337.17999300000002</v>
      </c>
      <c r="D5" s="1">
        <v>371.48998999999998</v>
      </c>
      <c r="E5" s="1">
        <v>336.5</v>
      </c>
      <c r="F5" s="1">
        <v>358.10000600000001</v>
      </c>
      <c r="G5" s="1">
        <v>358.10000600000001</v>
      </c>
      <c r="H5" s="6">
        <f>(G5-G4)/G4</f>
        <v>5.4786468335787944E-2</v>
      </c>
    </row>
    <row r="6" spans="2:8">
      <c r="B6" s="5">
        <v>43525</v>
      </c>
      <c r="C6" s="1">
        <v>362.26001000000002</v>
      </c>
      <c r="D6" s="1">
        <v>379</v>
      </c>
      <c r="E6" s="1">
        <v>342.47000100000002</v>
      </c>
      <c r="F6" s="1">
        <v>356.55999800000001</v>
      </c>
      <c r="G6" s="1">
        <v>356.55999800000001</v>
      </c>
      <c r="H6" s="6">
        <f t="shared" ref="H6:H63" si="0">(G6-G5)/G5</f>
        <v>-4.3004969958028993E-3</v>
      </c>
    </row>
    <row r="7" spans="2:8">
      <c r="B7" s="5">
        <v>43556</v>
      </c>
      <c r="C7" s="1">
        <v>359</v>
      </c>
      <c r="D7" s="1">
        <v>384.79998799999998</v>
      </c>
      <c r="E7" s="1">
        <v>342.26998900000001</v>
      </c>
      <c r="F7" s="1">
        <v>370.540009</v>
      </c>
      <c r="G7" s="1">
        <v>370.540009</v>
      </c>
      <c r="H7" s="6">
        <f t="shared" si="0"/>
        <v>3.9208018505766287E-2</v>
      </c>
    </row>
    <row r="8" spans="2:8">
      <c r="B8" s="5">
        <v>43586</v>
      </c>
      <c r="C8" s="1">
        <v>374</v>
      </c>
      <c r="D8" s="1">
        <v>385.98998999999998</v>
      </c>
      <c r="E8" s="1">
        <v>341.39001500000001</v>
      </c>
      <c r="F8" s="1">
        <v>343.27999899999998</v>
      </c>
      <c r="G8" s="1">
        <v>343.27999899999998</v>
      </c>
      <c r="H8" s="6">
        <f t="shared" si="0"/>
        <v>-7.3568330916729763E-2</v>
      </c>
    </row>
    <row r="9" spans="2:8">
      <c r="B9" s="5">
        <v>43617</v>
      </c>
      <c r="C9" s="1">
        <v>343.55999800000001</v>
      </c>
      <c r="D9" s="1">
        <v>375</v>
      </c>
      <c r="E9" s="1">
        <v>332.64999399999999</v>
      </c>
      <c r="F9" s="1">
        <v>367.32000699999998</v>
      </c>
      <c r="G9" s="1">
        <v>367.32000699999998</v>
      </c>
      <c r="H9" s="6">
        <f t="shared" si="0"/>
        <v>7.0030319476900263E-2</v>
      </c>
    </row>
    <row r="10" spans="2:8">
      <c r="B10" s="5">
        <v>43647</v>
      </c>
      <c r="C10" s="1">
        <v>373.5</v>
      </c>
      <c r="D10" s="1">
        <v>384.76001000000002</v>
      </c>
      <c r="E10" s="1">
        <v>305.80999800000001</v>
      </c>
      <c r="F10" s="1">
        <v>322.98998999999998</v>
      </c>
      <c r="G10" s="1">
        <v>322.98998999999998</v>
      </c>
      <c r="H10" s="6">
        <f t="shared" si="0"/>
        <v>-0.12068500532289275</v>
      </c>
    </row>
    <row r="11" spans="2:8">
      <c r="B11" s="5">
        <v>43678</v>
      </c>
      <c r="C11" s="1">
        <v>324.25</v>
      </c>
      <c r="D11" s="1">
        <v>328.57998700000002</v>
      </c>
      <c r="E11" s="1">
        <v>287.20001200000002</v>
      </c>
      <c r="F11" s="1">
        <v>293.75</v>
      </c>
      <c r="G11" s="1">
        <v>293.75</v>
      </c>
      <c r="H11" s="6">
        <f t="shared" si="0"/>
        <v>-9.052909039069594E-2</v>
      </c>
    </row>
    <row r="12" spans="2:8">
      <c r="B12" s="5">
        <v>43709</v>
      </c>
      <c r="C12" s="1">
        <v>290.82000699999998</v>
      </c>
      <c r="D12" s="1">
        <v>301.54998799999998</v>
      </c>
      <c r="E12" s="1">
        <v>252.279999</v>
      </c>
      <c r="F12" s="1">
        <v>267.61999500000002</v>
      </c>
      <c r="G12" s="1">
        <v>267.61999500000002</v>
      </c>
      <c r="H12" s="6">
        <f t="shared" si="0"/>
        <v>-8.8953208510638246E-2</v>
      </c>
    </row>
    <row r="13" spans="2:8">
      <c r="B13" s="5">
        <v>43739</v>
      </c>
      <c r="C13" s="1">
        <v>267.35000600000001</v>
      </c>
      <c r="D13" s="1">
        <v>308.75</v>
      </c>
      <c r="E13" s="1">
        <v>257.01001000000002</v>
      </c>
      <c r="F13" s="1">
        <v>287.41000400000001</v>
      </c>
      <c r="G13" s="1">
        <v>287.41000400000001</v>
      </c>
      <c r="H13" s="6">
        <f t="shared" si="0"/>
        <v>7.3948170427250756E-2</v>
      </c>
    </row>
    <row r="14" spans="2:8">
      <c r="B14" s="5">
        <v>43770</v>
      </c>
      <c r="C14" s="1">
        <v>288.70001200000002</v>
      </c>
      <c r="D14" s="1">
        <v>316.82000699999998</v>
      </c>
      <c r="E14" s="1">
        <v>281.14001500000001</v>
      </c>
      <c r="F14" s="1">
        <v>314.66000400000001</v>
      </c>
      <c r="G14" s="1">
        <v>314.66000400000001</v>
      </c>
      <c r="H14" s="6">
        <f t="shared" si="0"/>
        <v>9.4812287744862209E-2</v>
      </c>
    </row>
    <row r="15" spans="2:8">
      <c r="B15" s="5">
        <v>43800</v>
      </c>
      <c r="C15" s="1">
        <v>314.39001500000001</v>
      </c>
      <c r="D15" s="1">
        <v>338</v>
      </c>
      <c r="E15" s="1">
        <v>292.01998900000001</v>
      </c>
      <c r="F15" s="1">
        <v>323.57000699999998</v>
      </c>
      <c r="G15" s="1">
        <v>323.57000699999998</v>
      </c>
      <c r="H15" s="6">
        <f t="shared" si="0"/>
        <v>2.8316287061383116E-2</v>
      </c>
    </row>
    <row r="16" spans="2:8">
      <c r="B16" s="5">
        <v>43831</v>
      </c>
      <c r="C16" s="1">
        <v>326.10000600000001</v>
      </c>
      <c r="D16" s="1">
        <v>359.85000600000001</v>
      </c>
      <c r="E16" s="1">
        <v>321.20001200000002</v>
      </c>
      <c r="F16" s="1">
        <v>345.08999599999999</v>
      </c>
      <c r="G16" s="1">
        <v>345.08999599999999</v>
      </c>
      <c r="H16" s="6">
        <f t="shared" si="0"/>
        <v>6.6507984468412149E-2</v>
      </c>
    </row>
    <row r="17" spans="2:8">
      <c r="B17" s="5">
        <v>43862</v>
      </c>
      <c r="C17" s="1">
        <v>347.23998999999998</v>
      </c>
      <c r="D17" s="1">
        <v>392.95001200000002</v>
      </c>
      <c r="E17" s="1">
        <v>346.27999899999998</v>
      </c>
      <c r="F17" s="1">
        <v>369.02999899999998</v>
      </c>
      <c r="G17" s="1">
        <v>369.02999899999998</v>
      </c>
      <c r="H17" s="6">
        <f t="shared" si="0"/>
        <v>6.9373216486982692E-2</v>
      </c>
    </row>
    <row r="18" spans="2:8">
      <c r="B18" s="5">
        <v>43891</v>
      </c>
      <c r="C18" s="1">
        <v>373.10998499999999</v>
      </c>
      <c r="D18" s="1">
        <v>393.51998900000001</v>
      </c>
      <c r="E18" s="1">
        <v>290.25</v>
      </c>
      <c r="F18" s="1">
        <v>375.5</v>
      </c>
      <c r="G18" s="1">
        <v>375.5</v>
      </c>
      <c r="H18" s="6">
        <f t="shared" si="0"/>
        <v>1.7532452693635958E-2</v>
      </c>
    </row>
    <row r="19" spans="2:8">
      <c r="B19" s="5">
        <v>43922</v>
      </c>
      <c r="C19" s="1">
        <v>376.04998799999998</v>
      </c>
      <c r="D19" s="1">
        <v>449.51998900000001</v>
      </c>
      <c r="E19" s="1">
        <v>357.51001000000002</v>
      </c>
      <c r="F19" s="1">
        <v>419.85000600000001</v>
      </c>
      <c r="G19" s="1">
        <v>419.85000600000001</v>
      </c>
      <c r="H19" s="6">
        <f t="shared" si="0"/>
        <v>0.1181092037283622</v>
      </c>
    </row>
    <row r="20" spans="2:8">
      <c r="B20" s="5">
        <v>43952</v>
      </c>
      <c r="C20" s="1">
        <v>415.10000600000001</v>
      </c>
      <c r="D20" s="1">
        <v>458.97000100000002</v>
      </c>
      <c r="E20" s="1">
        <v>397.85998499999999</v>
      </c>
      <c r="F20" s="1">
        <v>419.73001099999999</v>
      </c>
      <c r="G20" s="1">
        <v>419.73001099999999</v>
      </c>
      <c r="H20" s="6">
        <f t="shared" si="0"/>
        <v>-2.8580444988731801E-4</v>
      </c>
    </row>
    <row r="21" spans="2:8">
      <c r="B21" s="5">
        <v>43983</v>
      </c>
      <c r="C21" s="1">
        <v>418.82998700000002</v>
      </c>
      <c r="D21" s="1">
        <v>474.01001000000002</v>
      </c>
      <c r="E21" s="1">
        <v>404.25</v>
      </c>
      <c r="F21" s="1">
        <v>455.040009</v>
      </c>
      <c r="G21" s="1">
        <v>455.040009</v>
      </c>
      <c r="H21" s="6">
        <f t="shared" si="0"/>
        <v>8.4125502286278048E-2</v>
      </c>
    </row>
    <row r="22" spans="2:8">
      <c r="B22" s="5">
        <v>44013</v>
      </c>
      <c r="C22" s="1">
        <v>454</v>
      </c>
      <c r="D22" s="1">
        <v>575.36999500000002</v>
      </c>
      <c r="E22" s="1">
        <v>454</v>
      </c>
      <c r="F22" s="1">
        <v>488.88000499999998</v>
      </c>
      <c r="G22" s="1">
        <v>488.88000499999998</v>
      </c>
      <c r="H22" s="6">
        <f t="shared" si="0"/>
        <v>7.4367078346291055E-2</v>
      </c>
    </row>
    <row r="23" spans="2:8">
      <c r="B23" s="5">
        <v>44044</v>
      </c>
      <c r="C23" s="1">
        <v>490.85998499999999</v>
      </c>
      <c r="D23" s="1">
        <v>549.03997800000002</v>
      </c>
      <c r="E23" s="1">
        <v>466.54998799999998</v>
      </c>
      <c r="F23" s="1">
        <v>529.55999799999995</v>
      </c>
      <c r="G23" s="1">
        <v>529.55999799999995</v>
      </c>
      <c r="H23" s="6">
        <f t="shared" si="0"/>
        <v>8.3210588659685461E-2</v>
      </c>
    </row>
    <row r="24" spans="2:8">
      <c r="B24" s="5">
        <v>44075</v>
      </c>
      <c r="C24" s="1">
        <v>532.59997599999997</v>
      </c>
      <c r="D24" s="1">
        <v>557.39001499999995</v>
      </c>
      <c r="E24" s="1">
        <v>458.60000600000001</v>
      </c>
      <c r="F24" s="1">
        <v>500.02999899999998</v>
      </c>
      <c r="G24" s="1">
        <v>500.02999899999998</v>
      </c>
      <c r="H24" s="6">
        <f t="shared" si="0"/>
        <v>-5.5763273494082874E-2</v>
      </c>
    </row>
    <row r="25" spans="2:8">
      <c r="B25" s="5">
        <v>44105</v>
      </c>
      <c r="C25" s="1">
        <v>506.02999899999998</v>
      </c>
      <c r="D25" s="1">
        <v>572.48999000000003</v>
      </c>
      <c r="E25" s="1">
        <v>472.209991</v>
      </c>
      <c r="F25" s="1">
        <v>475.73998999999998</v>
      </c>
      <c r="G25" s="1">
        <v>475.73998999999998</v>
      </c>
      <c r="H25" s="6">
        <f t="shared" si="0"/>
        <v>-4.8577103470945945E-2</v>
      </c>
    </row>
    <row r="26" spans="2:8">
      <c r="B26" s="5">
        <v>44136</v>
      </c>
      <c r="C26" s="1">
        <v>478.86999500000002</v>
      </c>
      <c r="D26" s="1">
        <v>518.72997999999995</v>
      </c>
      <c r="E26" s="1">
        <v>463.41000400000001</v>
      </c>
      <c r="F26" s="1">
        <v>490.70001200000002</v>
      </c>
      <c r="G26" s="1">
        <v>490.70001200000002</v>
      </c>
      <c r="H26" s="6">
        <f t="shared" si="0"/>
        <v>3.1445794582036377E-2</v>
      </c>
    </row>
    <row r="27" spans="2:8">
      <c r="B27" s="5">
        <v>44166</v>
      </c>
      <c r="C27" s="1">
        <v>492.33999599999999</v>
      </c>
      <c r="D27" s="1">
        <v>545.5</v>
      </c>
      <c r="E27" s="1">
        <v>491.290009</v>
      </c>
      <c r="F27" s="1">
        <v>540.72997999999995</v>
      </c>
      <c r="G27" s="1">
        <v>540.72997999999995</v>
      </c>
      <c r="H27" s="6">
        <f t="shared" si="0"/>
        <v>0.10195632112599161</v>
      </c>
    </row>
    <row r="28" spans="2:8">
      <c r="B28" s="5">
        <v>44197</v>
      </c>
      <c r="C28" s="1">
        <v>539</v>
      </c>
      <c r="D28" s="1">
        <v>593.28997800000002</v>
      </c>
      <c r="E28" s="1">
        <v>485.67001299999998</v>
      </c>
      <c r="F28" s="1">
        <v>532.39001499999995</v>
      </c>
      <c r="G28" s="1">
        <v>532.39001499999995</v>
      </c>
      <c r="H28" s="6">
        <f t="shared" si="0"/>
        <v>-1.5423529873449974E-2</v>
      </c>
    </row>
    <row r="29" spans="2:8">
      <c r="B29" s="5">
        <v>44228</v>
      </c>
      <c r="C29" s="1">
        <v>536.78997800000002</v>
      </c>
      <c r="D29" s="1">
        <v>566.65002400000003</v>
      </c>
      <c r="E29" s="1">
        <v>518.28002900000001</v>
      </c>
      <c r="F29" s="1">
        <v>538.84997599999997</v>
      </c>
      <c r="G29" s="1">
        <v>538.84997599999997</v>
      </c>
      <c r="H29" s="6">
        <f t="shared" si="0"/>
        <v>1.2133888348751285E-2</v>
      </c>
    </row>
    <row r="30" spans="2:8">
      <c r="B30" s="5">
        <v>44256</v>
      </c>
      <c r="C30" s="1">
        <v>545.57000700000003</v>
      </c>
      <c r="D30" s="1">
        <v>556.98999000000003</v>
      </c>
      <c r="E30" s="1">
        <v>492.85000600000001</v>
      </c>
      <c r="F30" s="1">
        <v>521.65997300000004</v>
      </c>
      <c r="G30" s="1">
        <v>521.65997300000004</v>
      </c>
      <c r="H30" s="6">
        <f t="shared" si="0"/>
        <v>-3.1901278214031013E-2</v>
      </c>
    </row>
    <row r="31" spans="2:8">
      <c r="B31" s="5">
        <v>44287</v>
      </c>
      <c r="C31" s="1">
        <v>529.92999299999997</v>
      </c>
      <c r="D31" s="1">
        <v>563.55999799999995</v>
      </c>
      <c r="E31" s="1">
        <v>499</v>
      </c>
      <c r="F31" s="1">
        <v>513.46997099999999</v>
      </c>
      <c r="G31" s="1">
        <v>513.46997099999999</v>
      </c>
      <c r="H31" s="6">
        <f t="shared" si="0"/>
        <v>-1.5699885795148114E-2</v>
      </c>
    </row>
    <row r="32" spans="2:8">
      <c r="B32" s="5">
        <v>44317</v>
      </c>
      <c r="C32" s="1">
        <v>512.65002400000003</v>
      </c>
      <c r="D32" s="1">
        <v>518.95001200000002</v>
      </c>
      <c r="E32" s="1">
        <v>478.540009</v>
      </c>
      <c r="F32" s="1">
        <v>502.80999800000001</v>
      </c>
      <c r="G32" s="1">
        <v>502.80999800000001</v>
      </c>
      <c r="H32" s="6">
        <f t="shared" si="0"/>
        <v>-2.0760655154262137E-2</v>
      </c>
    </row>
    <row r="33" spans="2:8">
      <c r="B33" s="5">
        <v>44348</v>
      </c>
      <c r="C33" s="1">
        <v>504.01001000000002</v>
      </c>
      <c r="D33" s="1">
        <v>536.13000499999998</v>
      </c>
      <c r="E33" s="1">
        <v>482.14001500000001</v>
      </c>
      <c r="F33" s="1">
        <v>528.21002199999998</v>
      </c>
      <c r="G33" s="1">
        <v>528.21002199999998</v>
      </c>
      <c r="H33" s="6">
        <f t="shared" si="0"/>
        <v>5.0516147453376563E-2</v>
      </c>
    </row>
    <row r="34" spans="2:8">
      <c r="B34" s="5">
        <v>44378</v>
      </c>
      <c r="C34" s="1">
        <v>525.71997099999999</v>
      </c>
      <c r="D34" s="1">
        <v>557.53997800000002</v>
      </c>
      <c r="E34" s="1">
        <v>504.66000400000001</v>
      </c>
      <c r="F34" s="1">
        <v>517.57000700000003</v>
      </c>
      <c r="G34" s="1">
        <v>517.57000700000003</v>
      </c>
      <c r="H34" s="6">
        <f t="shared" si="0"/>
        <v>-2.0143531089608802E-2</v>
      </c>
    </row>
    <row r="35" spans="2:8">
      <c r="B35" s="5">
        <v>44409</v>
      </c>
      <c r="C35" s="1">
        <v>519</v>
      </c>
      <c r="D35" s="1">
        <v>569.47997999999995</v>
      </c>
      <c r="E35" s="1">
        <v>505.36999500000002</v>
      </c>
      <c r="F35" s="1">
        <v>569.19000200000005</v>
      </c>
      <c r="G35" s="1">
        <v>569.19000200000005</v>
      </c>
      <c r="H35" s="6">
        <f t="shared" si="0"/>
        <v>9.9735290495687495E-2</v>
      </c>
    </row>
    <row r="36" spans="2:8">
      <c r="B36" s="5">
        <v>44440</v>
      </c>
      <c r="C36" s="1">
        <v>569</v>
      </c>
      <c r="D36" s="1">
        <v>619</v>
      </c>
      <c r="E36" s="1">
        <v>568.080017</v>
      </c>
      <c r="F36" s="1">
        <v>610.34002699999996</v>
      </c>
      <c r="G36" s="1">
        <v>610.34002699999996</v>
      </c>
      <c r="H36" s="6">
        <f t="shared" si="0"/>
        <v>7.2295762145168377E-2</v>
      </c>
    </row>
    <row r="37" spans="2:8">
      <c r="B37" s="5">
        <v>44470</v>
      </c>
      <c r="C37" s="1">
        <v>604.23999000000003</v>
      </c>
      <c r="D37" s="1">
        <v>690.96997099999999</v>
      </c>
      <c r="E37" s="1">
        <v>594.67999299999997</v>
      </c>
      <c r="F37" s="1">
        <v>690.30999799999995</v>
      </c>
      <c r="G37" s="1">
        <v>690.30999799999995</v>
      </c>
      <c r="H37" s="6">
        <f t="shared" si="0"/>
        <v>0.13102527683310536</v>
      </c>
    </row>
    <row r="38" spans="2:8">
      <c r="B38" s="5">
        <v>44501</v>
      </c>
      <c r="C38" s="1">
        <v>689.05999799999995</v>
      </c>
      <c r="D38" s="1">
        <v>700.98999000000003</v>
      </c>
      <c r="E38" s="1">
        <v>640.01000999999997</v>
      </c>
      <c r="F38" s="1">
        <v>641.90002400000003</v>
      </c>
      <c r="G38" s="1">
        <v>641.90002400000003</v>
      </c>
      <c r="H38" s="6">
        <f t="shared" si="0"/>
        <v>-7.012787608502799E-2</v>
      </c>
    </row>
    <row r="39" spans="2:8">
      <c r="B39" s="5">
        <v>44531</v>
      </c>
      <c r="C39" s="1">
        <v>649.47997999999995</v>
      </c>
      <c r="D39" s="1">
        <v>654.52002000000005</v>
      </c>
      <c r="E39" s="1">
        <v>581.73999000000003</v>
      </c>
      <c r="F39" s="1">
        <v>602.44000200000005</v>
      </c>
      <c r="G39" s="1">
        <v>602.44000200000005</v>
      </c>
      <c r="H39" s="6">
        <f t="shared" si="0"/>
        <v>-6.1473781780073559E-2</v>
      </c>
    </row>
    <row r="40" spans="2:8">
      <c r="B40" s="5">
        <v>44562</v>
      </c>
      <c r="C40" s="1">
        <v>605.60998500000005</v>
      </c>
      <c r="D40" s="1">
        <v>609.98999000000003</v>
      </c>
      <c r="E40" s="1">
        <v>351.459991</v>
      </c>
      <c r="F40" s="1">
        <v>427.14001500000001</v>
      </c>
      <c r="G40" s="1">
        <v>427.14001500000001</v>
      </c>
      <c r="H40" s="6">
        <f t="shared" si="0"/>
        <v>-0.29098331189501597</v>
      </c>
    </row>
    <row r="41" spans="2:8">
      <c r="B41" s="5">
        <v>44593</v>
      </c>
      <c r="C41" s="1">
        <v>432.959991</v>
      </c>
      <c r="D41" s="1">
        <v>458.48001099999999</v>
      </c>
      <c r="E41" s="1">
        <v>354.72000100000002</v>
      </c>
      <c r="F41" s="1">
        <v>394.51998900000001</v>
      </c>
      <c r="G41" s="1">
        <v>394.51998900000001</v>
      </c>
      <c r="H41" s="6">
        <f t="shared" si="0"/>
        <v>-7.6368461990150918E-2</v>
      </c>
    </row>
    <row r="42" spans="2:8">
      <c r="B42" s="5">
        <v>44621</v>
      </c>
      <c r="C42" s="1">
        <v>391.60000600000001</v>
      </c>
      <c r="D42" s="1">
        <v>396.5</v>
      </c>
      <c r="E42" s="1">
        <v>329.82000699999998</v>
      </c>
      <c r="F42" s="1">
        <v>374.58999599999999</v>
      </c>
      <c r="G42" s="1">
        <v>374.58999599999999</v>
      </c>
      <c r="H42" s="6">
        <f t="shared" si="0"/>
        <v>-5.0517067716941519E-2</v>
      </c>
    </row>
    <row r="43" spans="2:8">
      <c r="B43" s="5">
        <v>44652</v>
      </c>
      <c r="C43" s="1">
        <v>376.79998799999998</v>
      </c>
      <c r="D43" s="1">
        <v>396.01998900000001</v>
      </c>
      <c r="E43" s="1">
        <v>185.60000600000001</v>
      </c>
      <c r="F43" s="1">
        <v>190.36000100000001</v>
      </c>
      <c r="G43" s="1">
        <v>190.36000100000001</v>
      </c>
      <c r="H43" s="6">
        <f t="shared" si="0"/>
        <v>-0.49181771261184448</v>
      </c>
    </row>
    <row r="44" spans="2:8">
      <c r="B44" s="5">
        <v>44682</v>
      </c>
      <c r="C44" s="1">
        <v>191.71000699999999</v>
      </c>
      <c r="D44" s="1">
        <v>204.38000500000001</v>
      </c>
      <c r="E44" s="1">
        <v>162.71000699999999</v>
      </c>
      <c r="F44" s="1">
        <v>197.44000199999999</v>
      </c>
      <c r="G44" s="1">
        <v>197.44000199999999</v>
      </c>
      <c r="H44" s="6">
        <f t="shared" si="0"/>
        <v>3.7192692597222569E-2</v>
      </c>
    </row>
    <row r="45" spans="2:8">
      <c r="B45" s="5">
        <v>44713</v>
      </c>
      <c r="C45" s="1">
        <v>198.699997</v>
      </c>
      <c r="D45" s="1">
        <v>207.38000500000001</v>
      </c>
      <c r="E45" s="1">
        <v>164.279999</v>
      </c>
      <c r="F45" s="1">
        <v>174.86999499999999</v>
      </c>
      <c r="G45" s="1">
        <v>174.86999499999999</v>
      </c>
      <c r="H45" s="6">
        <f t="shared" si="0"/>
        <v>-0.11431324337202957</v>
      </c>
    </row>
    <row r="46" spans="2:8">
      <c r="B46" s="5">
        <v>44743</v>
      </c>
      <c r="C46" s="1">
        <v>176.490005</v>
      </c>
      <c r="D46" s="1">
        <v>230.75</v>
      </c>
      <c r="E46" s="1">
        <v>169.699997</v>
      </c>
      <c r="F46" s="1">
        <v>224.89999399999999</v>
      </c>
      <c r="G46" s="1">
        <v>224.89999399999999</v>
      </c>
      <c r="H46" s="6">
        <f t="shared" si="0"/>
        <v>0.28609824687191193</v>
      </c>
    </row>
    <row r="47" spans="2:8">
      <c r="B47" s="5">
        <v>44774</v>
      </c>
      <c r="C47" s="1">
        <v>223.10000600000001</v>
      </c>
      <c r="D47" s="1">
        <v>251.990005</v>
      </c>
      <c r="E47" s="1">
        <v>218.740005</v>
      </c>
      <c r="F47" s="1">
        <v>223.55999800000001</v>
      </c>
      <c r="G47" s="1">
        <v>223.55999800000001</v>
      </c>
      <c r="H47" s="6">
        <f t="shared" si="0"/>
        <v>-5.9581860193379339E-3</v>
      </c>
    </row>
    <row r="48" spans="2:8">
      <c r="B48" s="5">
        <v>44805</v>
      </c>
      <c r="C48" s="1">
        <v>220.720001</v>
      </c>
      <c r="D48" s="1">
        <v>250.490005</v>
      </c>
      <c r="E48" s="1">
        <v>214.69000199999999</v>
      </c>
      <c r="F48" s="1">
        <v>235.44000199999999</v>
      </c>
      <c r="G48" s="1">
        <v>235.44000199999999</v>
      </c>
      <c r="H48" s="6">
        <f t="shared" si="0"/>
        <v>5.3140114986044977E-2</v>
      </c>
    </row>
    <row r="49" spans="2:8">
      <c r="B49" s="5">
        <v>44835</v>
      </c>
      <c r="C49" s="1">
        <v>237.85000600000001</v>
      </c>
      <c r="D49" s="1">
        <v>305.63000499999998</v>
      </c>
      <c r="E49" s="1">
        <v>211.729996</v>
      </c>
      <c r="F49" s="1">
        <v>291.88000499999998</v>
      </c>
      <c r="G49" s="1">
        <v>291.88000499999998</v>
      </c>
      <c r="H49" s="6">
        <f t="shared" si="0"/>
        <v>0.23972138345462635</v>
      </c>
    </row>
    <row r="50" spans="2:8">
      <c r="B50" s="5">
        <v>44866</v>
      </c>
      <c r="C50" s="1">
        <v>296.17001299999998</v>
      </c>
      <c r="D50" s="1">
        <v>312.709991</v>
      </c>
      <c r="E50" s="1">
        <v>252.08999600000001</v>
      </c>
      <c r="F50" s="1">
        <v>305.52999899999998</v>
      </c>
      <c r="G50" s="1">
        <v>305.52999899999998</v>
      </c>
      <c r="H50" s="6">
        <f t="shared" si="0"/>
        <v>4.6765772804478307E-2</v>
      </c>
    </row>
    <row r="51" spans="2:8">
      <c r="B51" s="5">
        <v>44896</v>
      </c>
      <c r="C51" s="1">
        <v>303.98998999999998</v>
      </c>
      <c r="D51" s="1">
        <v>332.72000100000002</v>
      </c>
      <c r="E51" s="1">
        <v>273.41000400000001</v>
      </c>
      <c r="F51" s="1">
        <v>294.88000499999998</v>
      </c>
      <c r="G51" s="1">
        <v>294.88000499999998</v>
      </c>
      <c r="H51" s="6">
        <f t="shared" si="0"/>
        <v>-3.4857441281895184E-2</v>
      </c>
    </row>
    <row r="52" spans="2:8">
      <c r="B52" s="5">
        <v>44927</v>
      </c>
      <c r="C52" s="1">
        <v>298.05999800000001</v>
      </c>
      <c r="D52" s="1">
        <v>369.01998900000001</v>
      </c>
      <c r="E52" s="1">
        <v>288.70001200000002</v>
      </c>
      <c r="F52" s="1">
        <v>353.85998499999999</v>
      </c>
      <c r="G52" s="1">
        <v>353.85998499999999</v>
      </c>
      <c r="H52" s="6">
        <f t="shared" si="0"/>
        <v>0.20001349362429649</v>
      </c>
    </row>
    <row r="53" spans="2:8">
      <c r="B53" s="5">
        <v>44958</v>
      </c>
      <c r="C53" s="1">
        <v>353.85998499999999</v>
      </c>
      <c r="D53" s="1">
        <v>379.42999300000002</v>
      </c>
      <c r="E53" s="1">
        <v>314.29998799999998</v>
      </c>
      <c r="F53" s="1">
        <v>322.13000499999998</v>
      </c>
      <c r="G53" s="1">
        <v>322.13000499999998</v>
      </c>
      <c r="H53" s="6">
        <f t="shared" si="0"/>
        <v>-8.966817765506889E-2</v>
      </c>
    </row>
    <row r="54" spans="2:8">
      <c r="B54" s="5">
        <v>44986</v>
      </c>
      <c r="C54" s="1">
        <v>321.54998799999998</v>
      </c>
      <c r="D54" s="1">
        <v>345.83999599999999</v>
      </c>
      <c r="E54" s="1">
        <v>285.32998700000002</v>
      </c>
      <c r="F54" s="1">
        <v>345.48001099999999</v>
      </c>
      <c r="G54" s="1">
        <v>345.48001099999999</v>
      </c>
      <c r="H54" s="6">
        <f t="shared" si="0"/>
        <v>7.2486280810755296E-2</v>
      </c>
    </row>
    <row r="55" spans="2:8">
      <c r="B55" s="5">
        <v>45017</v>
      </c>
      <c r="C55" s="1">
        <v>341.82998700000002</v>
      </c>
      <c r="D55" s="1">
        <v>349.79998799999998</v>
      </c>
      <c r="E55" s="1">
        <v>316.10000600000001</v>
      </c>
      <c r="F55" s="1">
        <v>329.92999300000002</v>
      </c>
      <c r="G55" s="1">
        <v>329.92999300000002</v>
      </c>
      <c r="H55" s="6">
        <f t="shared" si="0"/>
        <v>-4.5009892048428722E-2</v>
      </c>
    </row>
    <row r="56" spans="2:8">
      <c r="B56" s="5">
        <v>45047</v>
      </c>
      <c r="C56" s="1">
        <v>329.44000199999999</v>
      </c>
      <c r="D56" s="1">
        <v>405.10998499999999</v>
      </c>
      <c r="E56" s="1">
        <v>315.61999500000002</v>
      </c>
      <c r="F56" s="1">
        <v>395.23001099999999</v>
      </c>
      <c r="G56" s="1">
        <v>395.23001099999999</v>
      </c>
      <c r="H56" s="6">
        <f t="shared" si="0"/>
        <v>0.19792082982889028</v>
      </c>
    </row>
    <row r="57" spans="2:8">
      <c r="B57" s="5">
        <v>45078</v>
      </c>
      <c r="C57" s="1">
        <v>397.41000400000001</v>
      </c>
      <c r="D57" s="1">
        <v>448.64999399999999</v>
      </c>
      <c r="E57" s="1">
        <v>393.07998700000002</v>
      </c>
      <c r="F57" s="1">
        <v>440.48998999999998</v>
      </c>
      <c r="G57" s="1">
        <v>440.48998999999998</v>
      </c>
      <c r="H57" s="6">
        <f t="shared" si="0"/>
        <v>0.11451554219145567</v>
      </c>
    </row>
    <row r="58" spans="2:8">
      <c r="B58" s="5">
        <v>45108</v>
      </c>
      <c r="C58" s="1">
        <v>439.76001000000002</v>
      </c>
      <c r="D58" s="1">
        <v>485</v>
      </c>
      <c r="E58" s="1">
        <v>411.88000499999998</v>
      </c>
      <c r="F58" s="1">
        <v>438.97000100000002</v>
      </c>
      <c r="G58" s="1">
        <v>438.97000100000002</v>
      </c>
      <c r="H58" s="6">
        <f t="shared" si="0"/>
        <v>-3.450677732767441E-3</v>
      </c>
    </row>
    <row r="59" spans="2:8">
      <c r="B59" s="5">
        <v>45139</v>
      </c>
      <c r="C59" s="1">
        <v>437.36999500000002</v>
      </c>
      <c r="D59" s="1">
        <v>445.25</v>
      </c>
      <c r="E59" s="1">
        <v>398.14999399999999</v>
      </c>
      <c r="F59" s="1">
        <v>433.67999300000002</v>
      </c>
      <c r="G59" s="1">
        <v>433.67999300000002</v>
      </c>
      <c r="H59" s="6">
        <f t="shared" si="0"/>
        <v>-1.205095561871892E-2</v>
      </c>
    </row>
    <row r="60" spans="2:8">
      <c r="B60" s="5">
        <v>45170</v>
      </c>
      <c r="C60" s="1">
        <v>437.73001099999999</v>
      </c>
      <c r="D60" s="1">
        <v>453.45001200000002</v>
      </c>
      <c r="E60" s="1">
        <v>371.10000600000001</v>
      </c>
      <c r="F60" s="1">
        <v>377.60000600000001</v>
      </c>
      <c r="G60" s="1">
        <v>377.60000600000001</v>
      </c>
      <c r="H60" s="6">
        <f t="shared" si="0"/>
        <v>-0.12931190717852648</v>
      </c>
    </row>
    <row r="61" spans="2:8">
      <c r="B61" s="5">
        <v>45200</v>
      </c>
      <c r="C61" s="1">
        <v>377.48001099999999</v>
      </c>
      <c r="D61" s="1">
        <v>418.83999599999999</v>
      </c>
      <c r="E61" s="1">
        <v>344.73001099999999</v>
      </c>
      <c r="F61" s="1">
        <v>411.69000199999999</v>
      </c>
      <c r="G61" s="1">
        <v>411.69000199999999</v>
      </c>
      <c r="H61" s="6">
        <f t="shared" si="0"/>
        <v>9.0280708311217511E-2</v>
      </c>
    </row>
    <row r="62" spans="2:8">
      <c r="B62" s="5">
        <v>45231</v>
      </c>
      <c r="C62" s="1">
        <v>414.76998900000001</v>
      </c>
      <c r="D62" s="1">
        <v>482.70001200000002</v>
      </c>
      <c r="E62" s="1">
        <v>414.17999300000002</v>
      </c>
      <c r="F62" s="1">
        <v>473.97000100000002</v>
      </c>
      <c r="G62" s="1">
        <v>473.97000100000002</v>
      </c>
      <c r="H62" s="6">
        <f t="shared" si="0"/>
        <v>0.15127887171765719</v>
      </c>
    </row>
    <row r="63" spans="2:8">
      <c r="B63" s="5">
        <v>45261</v>
      </c>
      <c r="C63" s="1">
        <v>473.17001299999998</v>
      </c>
      <c r="D63" s="1">
        <v>500.89001500000001</v>
      </c>
      <c r="E63" s="1">
        <v>445.73001099999999</v>
      </c>
      <c r="F63" s="1">
        <v>486.88000499999998</v>
      </c>
      <c r="G63" s="1">
        <v>486.88000499999998</v>
      </c>
      <c r="H63" s="6">
        <f t="shared" si="0"/>
        <v>2.7238019226453022E-2</v>
      </c>
    </row>
    <row r="65" spans="6:7">
      <c r="F65" t="s">
        <v>139</v>
      </c>
      <c r="G65">
        <f>G63/G51-1</f>
        <v>0.65111230583436819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D2EA-4EFD-4586-9E11-E67123D59762}">
  <dimension ref="B2:H66"/>
  <sheetViews>
    <sheetView workbookViewId="0">
      <selection activeCell="H3" sqref="H3"/>
    </sheetView>
  </sheetViews>
  <sheetFormatPr defaultRowHeight="14.4"/>
  <cols>
    <col min="2" max="2" width="21.6640625" style="2" customWidth="1"/>
    <col min="3" max="3" width="13.21875" customWidth="1"/>
    <col min="4" max="4" width="12.88671875" customWidth="1"/>
    <col min="5" max="5" width="15" customWidth="1"/>
    <col min="6" max="6" width="11.5546875" customWidth="1"/>
    <col min="7" max="7" width="14.21875" customWidth="1"/>
    <col min="8" max="8" width="18" style="2" customWidth="1"/>
  </cols>
  <sheetData>
    <row r="2" spans="2:8">
      <c r="B2" s="3"/>
    </row>
    <row r="3" spans="2:8">
      <c r="B3" s="3" t="s">
        <v>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7" t="s">
        <v>140</v>
      </c>
    </row>
    <row r="4" spans="2:8">
      <c r="B4" s="4">
        <v>43435</v>
      </c>
      <c r="C4" s="1">
        <v>24.33</v>
      </c>
      <c r="D4" s="1">
        <v>25</v>
      </c>
      <c r="E4" s="1">
        <v>19.920000000000002</v>
      </c>
      <c r="F4" s="1">
        <v>22.440000999999999</v>
      </c>
      <c r="G4" s="1">
        <v>22.440000999999999</v>
      </c>
      <c r="H4" s="7"/>
    </row>
    <row r="5" spans="2:8">
      <c r="B5" s="4">
        <v>43466</v>
      </c>
      <c r="C5" s="1">
        <v>22</v>
      </c>
      <c r="D5" s="1">
        <v>30.4</v>
      </c>
      <c r="E5" s="1">
        <v>21.5</v>
      </c>
      <c r="F5" s="1">
        <v>29.209999</v>
      </c>
      <c r="G5" s="1">
        <v>29.209999</v>
      </c>
      <c r="H5" s="8">
        <f>(G5-G4)/G4</f>
        <v>0.30169330206357842</v>
      </c>
    </row>
    <row r="6" spans="2:8">
      <c r="B6" s="4">
        <v>43497</v>
      </c>
      <c r="C6" s="1">
        <v>28.93</v>
      </c>
      <c r="D6" s="1">
        <v>31.18</v>
      </c>
      <c r="E6" s="1">
        <v>25.5</v>
      </c>
      <c r="F6" s="1">
        <v>29.940000999999999</v>
      </c>
      <c r="G6" s="1">
        <v>29.940000999999999</v>
      </c>
      <c r="H6" s="8">
        <f t="shared" ref="H6:H64" si="0">(G6-G5)/G5</f>
        <v>2.4991510612513163E-2</v>
      </c>
    </row>
    <row r="7" spans="2:8">
      <c r="B7" s="4">
        <v>43525</v>
      </c>
      <c r="C7" s="1">
        <v>30.27</v>
      </c>
      <c r="D7" s="1">
        <v>31.99</v>
      </c>
      <c r="E7" s="1">
        <v>23.01</v>
      </c>
      <c r="F7" s="1">
        <v>24.799999</v>
      </c>
      <c r="G7" s="1">
        <v>24.799999</v>
      </c>
      <c r="H7" s="8">
        <f t="shared" si="0"/>
        <v>-0.17167674777298769</v>
      </c>
    </row>
    <row r="8" spans="2:8">
      <c r="B8" s="4">
        <v>43556</v>
      </c>
      <c r="C8" s="1">
        <v>25.530000999999999</v>
      </c>
      <c r="D8" s="1">
        <v>25.66</v>
      </c>
      <c r="E8" s="1">
        <v>21.299999</v>
      </c>
      <c r="F8" s="1">
        <v>22.23</v>
      </c>
      <c r="G8" s="1">
        <v>22.23</v>
      </c>
      <c r="H8" s="8">
        <f t="shared" si="0"/>
        <v>-0.10362899611407239</v>
      </c>
    </row>
    <row r="9" spans="2:8">
      <c r="B9" s="4">
        <v>43586</v>
      </c>
      <c r="C9" s="1">
        <v>22.18</v>
      </c>
      <c r="D9" s="1">
        <v>24.040001</v>
      </c>
      <c r="E9" s="1">
        <v>19.120000999999998</v>
      </c>
      <c r="F9" s="1">
        <v>19.420000000000002</v>
      </c>
      <c r="G9" s="1">
        <v>19.420000000000002</v>
      </c>
      <c r="H9" s="8">
        <f t="shared" si="0"/>
        <v>-0.1264057579847053</v>
      </c>
    </row>
    <row r="10" spans="2:8">
      <c r="B10" s="4">
        <v>43617</v>
      </c>
      <c r="C10" s="1">
        <v>19.379999000000002</v>
      </c>
      <c r="D10" s="1">
        <v>21.780000999999999</v>
      </c>
      <c r="E10" s="1">
        <v>18.459999</v>
      </c>
      <c r="F10" s="1">
        <v>20.629999000000002</v>
      </c>
      <c r="G10" s="1">
        <v>20.629999000000002</v>
      </c>
      <c r="H10" s="8">
        <f t="shared" si="0"/>
        <v>6.2306848609680728E-2</v>
      </c>
    </row>
    <row r="11" spans="2:8">
      <c r="B11" s="4">
        <v>43647</v>
      </c>
      <c r="C11" s="1">
        <v>21.299999</v>
      </c>
      <c r="D11" s="1">
        <v>22.799999</v>
      </c>
      <c r="E11" s="1">
        <v>19.110001</v>
      </c>
      <c r="F11" s="1">
        <v>22.27</v>
      </c>
      <c r="G11" s="1">
        <v>22.27</v>
      </c>
      <c r="H11" s="8">
        <f t="shared" si="0"/>
        <v>7.9495932113229764E-2</v>
      </c>
    </row>
    <row r="12" spans="2:8">
      <c r="B12" s="4">
        <v>43678</v>
      </c>
      <c r="C12" s="1">
        <v>22.200001</v>
      </c>
      <c r="D12" s="1">
        <v>33.880001</v>
      </c>
      <c r="E12" s="1">
        <v>21.219999000000001</v>
      </c>
      <c r="F12" s="1">
        <v>32.770000000000003</v>
      </c>
      <c r="G12" s="1">
        <v>32.770000000000003</v>
      </c>
      <c r="H12" s="8">
        <f t="shared" si="0"/>
        <v>0.47148630444544248</v>
      </c>
    </row>
    <row r="13" spans="2:8">
      <c r="B13" s="4">
        <v>43709</v>
      </c>
      <c r="C13" s="1">
        <v>32.68</v>
      </c>
      <c r="D13" s="1">
        <v>36.889999000000003</v>
      </c>
      <c r="E13" s="1">
        <v>30.02</v>
      </c>
      <c r="F13" s="1">
        <v>32.220001000000003</v>
      </c>
      <c r="G13" s="1">
        <v>32.220001000000003</v>
      </c>
      <c r="H13" s="8">
        <f t="shared" si="0"/>
        <v>-1.6783613060726264E-2</v>
      </c>
    </row>
    <row r="14" spans="2:8">
      <c r="B14" s="4">
        <v>43739</v>
      </c>
      <c r="C14" s="1">
        <v>32.349997999999999</v>
      </c>
      <c r="D14" s="1">
        <v>42.849997999999999</v>
      </c>
      <c r="E14" s="1">
        <v>30.65</v>
      </c>
      <c r="F14" s="1">
        <v>40.880001</v>
      </c>
      <c r="G14" s="1">
        <v>40.880001</v>
      </c>
      <c r="H14" s="8">
        <f t="shared" si="0"/>
        <v>0.26877714870337827</v>
      </c>
    </row>
    <row r="15" spans="2:8">
      <c r="B15" s="4">
        <v>43770</v>
      </c>
      <c r="C15" s="1">
        <v>41.5</v>
      </c>
      <c r="D15" s="1">
        <v>45.25</v>
      </c>
      <c r="E15" s="1">
        <v>30.26</v>
      </c>
      <c r="F15" s="1">
        <v>35.950001</v>
      </c>
      <c r="G15" s="1">
        <v>35.950001</v>
      </c>
      <c r="H15" s="8">
        <f t="shared" si="0"/>
        <v>-0.12059686593451893</v>
      </c>
    </row>
    <row r="16" spans="2:8">
      <c r="B16" s="4">
        <v>43800</v>
      </c>
      <c r="C16" s="1">
        <v>35.860000999999997</v>
      </c>
      <c r="D16" s="1">
        <v>39.619999</v>
      </c>
      <c r="E16" s="1">
        <v>34.509998000000003</v>
      </c>
      <c r="F16" s="1">
        <v>37.82</v>
      </c>
      <c r="G16" s="1">
        <v>37.82</v>
      </c>
      <c r="H16" s="8">
        <f t="shared" si="0"/>
        <v>5.2016660583681207E-2</v>
      </c>
    </row>
    <row r="17" spans="2:8">
      <c r="B17" s="4">
        <v>43831</v>
      </c>
      <c r="C17" s="1">
        <v>38.5</v>
      </c>
      <c r="D17" s="1">
        <v>41.849997999999999</v>
      </c>
      <c r="E17" s="1">
        <v>34.599997999999999</v>
      </c>
      <c r="F17" s="1">
        <v>35.220001000000003</v>
      </c>
      <c r="G17" s="1">
        <v>35.220001000000003</v>
      </c>
      <c r="H17" s="8">
        <f t="shared" si="0"/>
        <v>-6.8746668429402344E-2</v>
      </c>
    </row>
    <row r="18" spans="2:8">
      <c r="B18" s="4">
        <v>43862</v>
      </c>
      <c r="C18" s="1">
        <v>35</v>
      </c>
      <c r="D18" s="1">
        <v>37.720001000000003</v>
      </c>
      <c r="E18" s="1">
        <v>32.779998999999997</v>
      </c>
      <c r="F18" s="1">
        <v>35.779998999999997</v>
      </c>
      <c r="G18" s="1">
        <v>35.779998999999997</v>
      </c>
      <c r="H18" s="8">
        <f t="shared" si="0"/>
        <v>1.5899999548551775E-2</v>
      </c>
    </row>
    <row r="19" spans="2:8">
      <c r="B19" s="4">
        <v>43891</v>
      </c>
      <c r="C19" s="1">
        <v>37</v>
      </c>
      <c r="D19" s="1">
        <v>38.779998999999997</v>
      </c>
      <c r="E19" s="1">
        <v>30.200001</v>
      </c>
      <c r="F19" s="1">
        <v>36.029998999999997</v>
      </c>
      <c r="G19" s="1">
        <v>36.029998999999997</v>
      </c>
      <c r="H19" s="8">
        <f t="shared" si="0"/>
        <v>6.9871438509542727E-3</v>
      </c>
    </row>
    <row r="20" spans="2:8">
      <c r="B20" s="4">
        <v>43922</v>
      </c>
      <c r="C20" s="1">
        <v>35.729999999999997</v>
      </c>
      <c r="D20" s="1">
        <v>53.669998</v>
      </c>
      <c r="E20" s="1">
        <v>33.900002000000001</v>
      </c>
      <c r="F20" s="1">
        <v>47.439999</v>
      </c>
      <c r="G20" s="1">
        <v>47.439999</v>
      </c>
      <c r="H20" s="8">
        <f t="shared" si="0"/>
        <v>0.31668055278047619</v>
      </c>
    </row>
    <row r="21" spans="2:8">
      <c r="B21" s="4">
        <v>43952</v>
      </c>
      <c r="C21" s="1">
        <v>46.549999</v>
      </c>
      <c r="D21" s="1">
        <v>69.690002000000007</v>
      </c>
      <c r="E21" s="1">
        <v>44.799999</v>
      </c>
      <c r="F21" s="1">
        <v>66.870002999999997</v>
      </c>
      <c r="G21" s="1">
        <v>66.870002999999997</v>
      </c>
      <c r="H21" s="8">
        <f t="shared" si="0"/>
        <v>0.40957007608705887</v>
      </c>
    </row>
    <row r="22" spans="2:8">
      <c r="B22" s="4">
        <v>43983</v>
      </c>
      <c r="C22" s="1">
        <v>65.910004000000001</v>
      </c>
      <c r="D22" s="1">
        <v>90.480002999999996</v>
      </c>
      <c r="E22" s="1">
        <v>64.800003000000004</v>
      </c>
      <c r="F22" s="1">
        <v>85.839995999999999</v>
      </c>
      <c r="G22" s="1">
        <v>85.839995999999999</v>
      </c>
      <c r="H22" s="8">
        <f t="shared" si="0"/>
        <v>0.28368464406977822</v>
      </c>
    </row>
    <row r="23" spans="2:8">
      <c r="B23" s="4">
        <v>44013</v>
      </c>
      <c r="C23" s="1">
        <v>85</v>
      </c>
      <c r="D23" s="1">
        <v>98.959998999999996</v>
      </c>
      <c r="E23" s="1">
        <v>76</v>
      </c>
      <c r="F23" s="1">
        <v>91.800003000000004</v>
      </c>
      <c r="G23" s="1">
        <v>91.800003000000004</v>
      </c>
      <c r="H23" s="8">
        <f t="shared" si="0"/>
        <v>6.9431585248442979E-2</v>
      </c>
    </row>
    <row r="24" spans="2:8">
      <c r="B24" s="4">
        <v>44044</v>
      </c>
      <c r="C24" s="1">
        <v>92.970000999999996</v>
      </c>
      <c r="D24" s="1">
        <v>98.43</v>
      </c>
      <c r="E24" s="1">
        <v>82.400002000000001</v>
      </c>
      <c r="F24" s="1">
        <v>88.940002000000007</v>
      </c>
      <c r="G24" s="1">
        <v>88.940002000000007</v>
      </c>
      <c r="H24" s="8">
        <f t="shared" si="0"/>
        <v>-3.1154693970979464E-2</v>
      </c>
    </row>
    <row r="25" spans="2:8">
      <c r="B25" s="4">
        <v>44075</v>
      </c>
      <c r="C25" s="1">
        <v>89.370002999999997</v>
      </c>
      <c r="D25" s="1">
        <v>93.910004000000001</v>
      </c>
      <c r="E25" s="1">
        <v>72.150002000000001</v>
      </c>
      <c r="F25" s="1">
        <v>74.150002000000001</v>
      </c>
      <c r="G25" s="1">
        <v>74.150002000000001</v>
      </c>
      <c r="H25" s="8">
        <f t="shared" si="0"/>
        <v>-0.16629187842833651</v>
      </c>
    </row>
    <row r="26" spans="2:8">
      <c r="B26" s="4">
        <v>44105</v>
      </c>
      <c r="C26" s="1">
        <v>74.879997000000003</v>
      </c>
      <c r="D26" s="1">
        <v>97.25</v>
      </c>
      <c r="E26" s="1">
        <v>69.889999000000003</v>
      </c>
      <c r="F26" s="1">
        <v>89.980002999999996</v>
      </c>
      <c r="G26" s="1">
        <v>89.980002999999996</v>
      </c>
      <c r="H26" s="8">
        <f t="shared" si="0"/>
        <v>0.21348618439686617</v>
      </c>
    </row>
    <row r="27" spans="2:8">
      <c r="B27" s="4">
        <v>44136</v>
      </c>
      <c r="C27" s="1">
        <v>91.910004000000001</v>
      </c>
      <c r="D27" s="1">
        <v>155.61000100000001</v>
      </c>
      <c r="E27" s="1">
        <v>88.690002000000007</v>
      </c>
      <c r="F27" s="1">
        <v>138.80999800000001</v>
      </c>
      <c r="G27" s="1">
        <v>138.80999800000001</v>
      </c>
      <c r="H27" s="8">
        <f t="shared" si="0"/>
        <v>0.54267607659448525</v>
      </c>
    </row>
    <row r="28" spans="2:8">
      <c r="B28" s="4">
        <v>44166</v>
      </c>
      <c r="C28" s="1">
        <v>139.80999800000001</v>
      </c>
      <c r="D28" s="1">
        <v>182.679993</v>
      </c>
      <c r="E28" s="1">
        <v>129.19000199999999</v>
      </c>
      <c r="F28" s="1">
        <v>177.66999799999999</v>
      </c>
      <c r="G28" s="1">
        <v>177.66999799999999</v>
      </c>
      <c r="H28" s="8">
        <f t="shared" si="0"/>
        <v>0.27995101620850094</v>
      </c>
    </row>
    <row r="29" spans="2:8">
      <c r="B29" s="4">
        <v>44197</v>
      </c>
      <c r="C29" s="1">
        <v>176.75</v>
      </c>
      <c r="D29" s="1">
        <v>195.11000100000001</v>
      </c>
      <c r="E29" s="1">
        <v>157.800003</v>
      </c>
      <c r="F29" s="1">
        <v>165.71000699999999</v>
      </c>
      <c r="G29" s="1">
        <v>165.71000699999999</v>
      </c>
      <c r="H29" s="8">
        <f t="shared" si="0"/>
        <v>-6.7315760311991463E-2</v>
      </c>
    </row>
    <row r="30" spans="2:8">
      <c r="B30" s="4">
        <v>44228</v>
      </c>
      <c r="C30" s="1">
        <v>173.529999</v>
      </c>
      <c r="D30" s="1">
        <v>212.60000600000001</v>
      </c>
      <c r="E30" s="1">
        <v>166.220001</v>
      </c>
      <c r="F30" s="1">
        <v>171.16000399999999</v>
      </c>
      <c r="G30" s="1">
        <v>171.16000399999999</v>
      </c>
      <c r="H30" s="8">
        <f t="shared" si="0"/>
        <v>3.2888762113201749E-2</v>
      </c>
    </row>
    <row r="31" spans="2:8">
      <c r="B31" s="4">
        <v>44256</v>
      </c>
      <c r="C31" s="1">
        <v>181.5</v>
      </c>
      <c r="D31" s="1">
        <v>188.070007</v>
      </c>
      <c r="E31" s="1">
        <v>121.220001</v>
      </c>
      <c r="F31" s="1">
        <v>133.88000500000001</v>
      </c>
      <c r="G31" s="1">
        <v>133.88000500000001</v>
      </c>
      <c r="H31" s="8">
        <f t="shared" si="0"/>
        <v>-0.21780788810918689</v>
      </c>
    </row>
    <row r="32" spans="2:8">
      <c r="B32" s="4">
        <v>44287</v>
      </c>
      <c r="C32" s="1">
        <v>141.009995</v>
      </c>
      <c r="D32" s="1">
        <v>152.05999800000001</v>
      </c>
      <c r="E32" s="1">
        <v>122.970001</v>
      </c>
      <c r="F32" s="1">
        <v>133.929993</v>
      </c>
      <c r="G32" s="1">
        <v>133.929993</v>
      </c>
      <c r="H32" s="8">
        <f t="shared" si="0"/>
        <v>3.7337913155877772E-4</v>
      </c>
    </row>
    <row r="33" spans="2:8">
      <c r="B33" s="4">
        <v>44317</v>
      </c>
      <c r="C33" s="1">
        <v>133.050003</v>
      </c>
      <c r="D33" s="1">
        <v>137.800003</v>
      </c>
      <c r="E33" s="1">
        <v>112.33000199999999</v>
      </c>
      <c r="F33" s="1">
        <v>124.879997</v>
      </c>
      <c r="G33" s="1">
        <v>124.879997</v>
      </c>
      <c r="H33" s="8">
        <f t="shared" si="0"/>
        <v>-6.7572586224207393E-2</v>
      </c>
    </row>
    <row r="34" spans="2:8">
      <c r="B34" s="4">
        <v>44348</v>
      </c>
      <c r="C34" s="1">
        <v>132.53999300000001</v>
      </c>
      <c r="D34" s="1">
        <v>143.11000100000001</v>
      </c>
      <c r="E34" s="1">
        <v>116.970001</v>
      </c>
      <c r="F34" s="1">
        <v>127.019997</v>
      </c>
      <c r="G34" s="1">
        <v>127.019997</v>
      </c>
      <c r="H34" s="8">
        <f t="shared" si="0"/>
        <v>1.7136451404623276E-2</v>
      </c>
    </row>
    <row r="35" spans="2:8">
      <c r="B35" s="4">
        <v>44378</v>
      </c>
      <c r="C35" s="1">
        <v>128.020004</v>
      </c>
      <c r="D35" s="1">
        <v>128.60000600000001</v>
      </c>
      <c r="E35" s="1">
        <v>77.660004000000001</v>
      </c>
      <c r="F35" s="1">
        <v>91.610000999999997</v>
      </c>
      <c r="G35" s="1">
        <v>91.610000999999997</v>
      </c>
      <c r="H35" s="8">
        <f t="shared" si="0"/>
        <v>-0.27877497115670696</v>
      </c>
    </row>
    <row r="36" spans="2:8">
      <c r="B36" s="4">
        <v>44409</v>
      </c>
      <c r="C36" s="1">
        <v>91.720000999999996</v>
      </c>
      <c r="D36" s="1">
        <v>101.16999800000001</v>
      </c>
      <c r="E36" s="1">
        <v>74.120002999999997</v>
      </c>
      <c r="F36" s="1">
        <v>100.019997</v>
      </c>
      <c r="G36" s="1">
        <v>100.019997</v>
      </c>
      <c r="H36" s="8">
        <f t="shared" si="0"/>
        <v>9.1802160334001168E-2</v>
      </c>
    </row>
    <row r="37" spans="2:8">
      <c r="B37" s="4">
        <v>44440</v>
      </c>
      <c r="C37" s="1">
        <v>100.300003</v>
      </c>
      <c r="D37" s="1">
        <v>109.790001</v>
      </c>
      <c r="E37" s="1">
        <v>87.550003000000004</v>
      </c>
      <c r="F37" s="1">
        <v>90.669998000000007</v>
      </c>
      <c r="G37" s="1">
        <v>90.669998000000007</v>
      </c>
      <c r="H37" s="8">
        <f t="shared" si="0"/>
        <v>-9.3481296545129836E-2</v>
      </c>
    </row>
    <row r="38" spans="2:8">
      <c r="B38" s="4">
        <v>44470</v>
      </c>
      <c r="C38" s="1">
        <v>90.540001000000004</v>
      </c>
      <c r="D38" s="1">
        <v>104.300003</v>
      </c>
      <c r="E38" s="1">
        <v>83.75</v>
      </c>
      <c r="F38" s="1">
        <v>88.919998000000007</v>
      </c>
      <c r="G38" s="1">
        <v>88.919998000000007</v>
      </c>
      <c r="H38" s="8">
        <f t="shared" si="0"/>
        <v>-1.9300761427170209E-2</v>
      </c>
    </row>
    <row r="39" spans="2:8">
      <c r="B39" s="4">
        <v>44501</v>
      </c>
      <c r="C39" s="1">
        <v>89.050003000000004</v>
      </c>
      <c r="D39" s="1">
        <v>95.580001999999993</v>
      </c>
      <c r="E39" s="1">
        <v>65.510002</v>
      </c>
      <c r="F39" s="1">
        <v>66.5</v>
      </c>
      <c r="G39" s="1">
        <v>66.5</v>
      </c>
      <c r="H39" s="8">
        <f t="shared" si="0"/>
        <v>-0.25213673531571612</v>
      </c>
    </row>
    <row r="40" spans="2:8">
      <c r="B40" s="4">
        <v>44531</v>
      </c>
      <c r="C40" s="1">
        <v>68.419998000000007</v>
      </c>
      <c r="D40" s="1">
        <v>68.839995999999999</v>
      </c>
      <c r="E40" s="1">
        <v>51.91</v>
      </c>
      <c r="F40" s="1">
        <v>58.299999</v>
      </c>
      <c r="G40" s="1">
        <v>58.299999</v>
      </c>
      <c r="H40" s="8">
        <f t="shared" si="0"/>
        <v>-0.12330828571428572</v>
      </c>
    </row>
    <row r="41" spans="2:8">
      <c r="B41" s="4">
        <v>44562</v>
      </c>
      <c r="C41" s="1">
        <v>58.349997999999999</v>
      </c>
      <c r="D41" s="1">
        <v>71.269997000000004</v>
      </c>
      <c r="E41" s="1">
        <v>47.669998</v>
      </c>
      <c r="F41" s="1">
        <v>59.84</v>
      </c>
      <c r="G41" s="1">
        <v>59.84</v>
      </c>
      <c r="H41" s="8">
        <f t="shared" si="0"/>
        <v>2.6415111945370766E-2</v>
      </c>
    </row>
    <row r="42" spans="2:8">
      <c r="B42" s="4">
        <v>44593</v>
      </c>
      <c r="C42" s="1">
        <v>59.740001999999997</v>
      </c>
      <c r="D42" s="1">
        <v>65.180000000000007</v>
      </c>
      <c r="E42" s="1">
        <v>47.57</v>
      </c>
      <c r="F42" s="1">
        <v>51.860000999999997</v>
      </c>
      <c r="G42" s="1">
        <v>51.860000999999997</v>
      </c>
      <c r="H42" s="8">
        <f t="shared" si="0"/>
        <v>-0.13335559826203219</v>
      </c>
    </row>
    <row r="43" spans="2:8">
      <c r="B43" s="4">
        <v>44621</v>
      </c>
      <c r="C43" s="1">
        <v>51.68</v>
      </c>
      <c r="D43" s="1">
        <v>55.380001</v>
      </c>
      <c r="E43" s="1">
        <v>23.209999</v>
      </c>
      <c r="F43" s="1">
        <v>40.110000999999997</v>
      </c>
      <c r="G43" s="1">
        <v>40.110000999999997</v>
      </c>
      <c r="H43" s="8">
        <f t="shared" si="0"/>
        <v>-0.22657153438928782</v>
      </c>
    </row>
    <row r="44" spans="2:8">
      <c r="B44" s="4">
        <v>44652</v>
      </c>
      <c r="C44" s="1">
        <v>44.52</v>
      </c>
      <c r="D44" s="1">
        <v>49.869999</v>
      </c>
      <c r="E44" s="1">
        <v>32.529998999999997</v>
      </c>
      <c r="F44" s="1">
        <v>43.09</v>
      </c>
      <c r="G44" s="1">
        <v>43.09</v>
      </c>
      <c r="H44" s="8">
        <f t="shared" si="0"/>
        <v>7.4295660077395825E-2</v>
      </c>
    </row>
    <row r="45" spans="2:8">
      <c r="B45" s="4">
        <v>44682</v>
      </c>
      <c r="C45" s="1">
        <v>42.310001</v>
      </c>
      <c r="D45" s="1">
        <v>52.790000999999997</v>
      </c>
      <c r="E45" s="1">
        <v>31.01</v>
      </c>
      <c r="F45" s="1">
        <v>50.349997999999999</v>
      </c>
      <c r="G45" s="1">
        <v>50.349997999999999</v>
      </c>
      <c r="H45" s="8">
        <f t="shared" si="0"/>
        <v>0.16848452077048029</v>
      </c>
    </row>
    <row r="46" spans="2:8">
      <c r="B46" s="4">
        <v>44713</v>
      </c>
      <c r="C46" s="1">
        <v>49.509998000000003</v>
      </c>
      <c r="D46" s="1">
        <v>68.709998999999996</v>
      </c>
      <c r="E46" s="1">
        <v>48.060001</v>
      </c>
      <c r="F46" s="1">
        <v>61.799999</v>
      </c>
      <c r="G46" s="1">
        <v>61.799999</v>
      </c>
      <c r="H46" s="8">
        <f t="shared" si="0"/>
        <v>0.22740817189307536</v>
      </c>
    </row>
    <row r="47" spans="2:8">
      <c r="B47" s="4">
        <v>44743</v>
      </c>
      <c r="C47" s="1">
        <v>61.810001</v>
      </c>
      <c r="D47" s="1">
        <v>66.669998000000007</v>
      </c>
      <c r="E47" s="1">
        <v>47.549999</v>
      </c>
      <c r="F47" s="1">
        <v>49.009998000000003</v>
      </c>
      <c r="G47" s="1">
        <v>49.009998000000003</v>
      </c>
      <c r="H47" s="8">
        <f t="shared" si="0"/>
        <v>-0.20695794833265282</v>
      </c>
    </row>
    <row r="48" spans="2:8">
      <c r="B48" s="4">
        <v>44774</v>
      </c>
      <c r="C48" s="1">
        <v>47.48</v>
      </c>
      <c r="D48" s="1">
        <v>72.190002000000007</v>
      </c>
      <c r="E48" s="1">
        <v>44.82</v>
      </c>
      <c r="F48" s="1">
        <v>71.300003000000004</v>
      </c>
      <c r="G48" s="1">
        <v>71.300003000000004</v>
      </c>
      <c r="H48" s="8">
        <f t="shared" si="0"/>
        <v>0.45480526238748265</v>
      </c>
    </row>
    <row r="49" spans="2:8">
      <c r="B49" s="4">
        <v>44805</v>
      </c>
      <c r="C49" s="1">
        <v>69.449996999999996</v>
      </c>
      <c r="D49" s="1">
        <v>73.019997000000004</v>
      </c>
      <c r="E49" s="1">
        <v>58.790000999999997</v>
      </c>
      <c r="F49" s="1">
        <v>62.580002</v>
      </c>
      <c r="G49" s="1">
        <v>62.580002</v>
      </c>
      <c r="H49" s="8">
        <f t="shared" si="0"/>
        <v>-0.12230014913183107</v>
      </c>
    </row>
    <row r="50" spans="2:8">
      <c r="B50" s="4">
        <v>44835</v>
      </c>
      <c r="C50" s="1">
        <v>62.41</v>
      </c>
      <c r="D50" s="1">
        <v>68.120002999999997</v>
      </c>
      <c r="E50" s="1">
        <v>38.799999</v>
      </c>
      <c r="F50" s="1">
        <v>54.830002</v>
      </c>
      <c r="G50" s="1">
        <v>54.830002</v>
      </c>
      <c r="H50" s="8">
        <f t="shared" si="0"/>
        <v>-0.12384147894402432</v>
      </c>
    </row>
    <row r="51" spans="2:8">
      <c r="B51" s="4">
        <v>44866</v>
      </c>
      <c r="C51" s="1">
        <v>59.630001</v>
      </c>
      <c r="D51" s="1">
        <v>84.269997000000004</v>
      </c>
      <c r="E51" s="1">
        <v>52</v>
      </c>
      <c r="F51" s="1">
        <v>82.040001000000004</v>
      </c>
      <c r="G51" s="1">
        <v>82.040001000000004</v>
      </c>
      <c r="H51" s="8">
        <f t="shared" si="0"/>
        <v>0.49626113455184634</v>
      </c>
    </row>
    <row r="52" spans="2:8">
      <c r="B52" s="4">
        <v>44896</v>
      </c>
      <c r="C52" s="1">
        <v>79.239998</v>
      </c>
      <c r="D52" s="1">
        <v>93.160004000000001</v>
      </c>
      <c r="E52" s="1">
        <v>78.819999999999993</v>
      </c>
      <c r="F52" s="1">
        <v>81.550003000000004</v>
      </c>
      <c r="G52" s="1">
        <v>81.550003000000004</v>
      </c>
      <c r="H52" s="8">
        <f t="shared" si="0"/>
        <v>-5.9726717945798157E-3</v>
      </c>
    </row>
    <row r="53" spans="2:8">
      <c r="B53" s="4">
        <v>44927</v>
      </c>
      <c r="C53" s="1">
        <v>85.510002</v>
      </c>
      <c r="D53" s="1">
        <v>106.379997</v>
      </c>
      <c r="E53" s="1">
        <v>84.230002999999996</v>
      </c>
      <c r="F53" s="1">
        <v>97.980002999999996</v>
      </c>
      <c r="G53" s="1">
        <v>97.980002999999996</v>
      </c>
      <c r="H53" s="8">
        <f t="shared" si="0"/>
        <v>0.20147148247192576</v>
      </c>
    </row>
    <row r="54" spans="2:8">
      <c r="B54" s="4">
        <v>44958</v>
      </c>
      <c r="C54" s="1">
        <v>102.30999799999999</v>
      </c>
      <c r="D54" s="1">
        <v>104.949997</v>
      </c>
      <c r="E54" s="1">
        <v>81.819999999999993</v>
      </c>
      <c r="F54" s="1">
        <v>87.730002999999996</v>
      </c>
      <c r="G54" s="1">
        <v>87.730002999999996</v>
      </c>
      <c r="H54" s="8">
        <f t="shared" si="0"/>
        <v>-0.10461318316146613</v>
      </c>
    </row>
    <row r="55" spans="2:8">
      <c r="B55" s="4">
        <v>44986</v>
      </c>
      <c r="C55" s="1">
        <v>92.650002000000001</v>
      </c>
      <c r="D55" s="1">
        <v>97.629997000000003</v>
      </c>
      <c r="E55" s="1">
        <v>70.129997000000003</v>
      </c>
      <c r="F55" s="1">
        <v>75.900002000000001</v>
      </c>
      <c r="G55" s="1">
        <v>75.900002000000001</v>
      </c>
      <c r="H55" s="8">
        <f t="shared" si="0"/>
        <v>-0.13484555563049502</v>
      </c>
    </row>
    <row r="56" spans="2:8">
      <c r="B56" s="4">
        <v>45017</v>
      </c>
      <c r="C56" s="1">
        <v>74.069999999999993</v>
      </c>
      <c r="D56" s="1">
        <v>74.900002000000001</v>
      </c>
      <c r="E56" s="1">
        <v>63.580002</v>
      </c>
      <c r="F56" s="1">
        <v>68.150002000000001</v>
      </c>
      <c r="G56" s="1">
        <v>68.150002000000001</v>
      </c>
      <c r="H56" s="8">
        <f t="shared" si="0"/>
        <v>-0.10210803420005179</v>
      </c>
    </row>
    <row r="57" spans="2:8">
      <c r="B57" s="4">
        <v>45047</v>
      </c>
      <c r="C57" s="1">
        <v>67.690002000000007</v>
      </c>
      <c r="D57" s="1">
        <v>72.269997000000004</v>
      </c>
      <c r="E57" s="1">
        <v>59.669998</v>
      </c>
      <c r="F57" s="1">
        <v>65.319999999999993</v>
      </c>
      <c r="G57" s="1">
        <v>65.319999999999993</v>
      </c>
      <c r="H57" s="8">
        <f t="shared" si="0"/>
        <v>-4.1526073616256202E-2</v>
      </c>
    </row>
    <row r="58" spans="2:8">
      <c r="B58" s="4">
        <v>45078</v>
      </c>
      <c r="C58" s="1">
        <v>63.860000999999997</v>
      </c>
      <c r="D58" s="1">
        <v>83.400002000000001</v>
      </c>
      <c r="E58" s="1">
        <v>63.84</v>
      </c>
      <c r="F58" s="1">
        <v>69.139999000000003</v>
      </c>
      <c r="G58" s="1">
        <v>69.139999000000003</v>
      </c>
      <c r="H58" s="8">
        <f t="shared" si="0"/>
        <v>5.8481307409675602E-2</v>
      </c>
    </row>
    <row r="59" spans="2:8">
      <c r="B59" s="4">
        <v>45108</v>
      </c>
      <c r="C59" s="1">
        <v>71.769997000000004</v>
      </c>
      <c r="D59" s="1">
        <v>90.93</v>
      </c>
      <c r="E59" s="1">
        <v>67.550003000000004</v>
      </c>
      <c r="F59" s="1">
        <v>89.82</v>
      </c>
      <c r="G59" s="1">
        <v>89.82</v>
      </c>
      <c r="H59" s="8">
        <f t="shared" si="0"/>
        <v>0.29910328751957299</v>
      </c>
    </row>
    <row r="60" spans="2:8">
      <c r="B60" s="4">
        <v>45139</v>
      </c>
      <c r="C60" s="1">
        <v>87.959998999999996</v>
      </c>
      <c r="D60" s="1">
        <v>100.709999</v>
      </c>
      <c r="E60" s="1">
        <v>75.440002000000007</v>
      </c>
      <c r="F60" s="1">
        <v>98.970000999999996</v>
      </c>
      <c r="G60" s="1">
        <v>98.970000999999996</v>
      </c>
      <c r="H60" s="8">
        <f t="shared" si="0"/>
        <v>0.10187041861500784</v>
      </c>
    </row>
    <row r="61" spans="2:8">
      <c r="B61" s="4">
        <v>45170</v>
      </c>
      <c r="C61" s="1">
        <v>100</v>
      </c>
      <c r="D61" s="1">
        <v>103.599998</v>
      </c>
      <c r="E61" s="1">
        <v>91.209998999999996</v>
      </c>
      <c r="F61" s="1">
        <v>98.07</v>
      </c>
      <c r="G61" s="1">
        <v>98.07</v>
      </c>
      <c r="H61" s="8">
        <f t="shared" si="0"/>
        <v>-9.0936747590818264E-3</v>
      </c>
    </row>
    <row r="62" spans="2:8">
      <c r="B62" s="4">
        <v>45200</v>
      </c>
      <c r="C62" s="1">
        <v>98.160004000000001</v>
      </c>
      <c r="D62" s="1">
        <v>112.769997</v>
      </c>
      <c r="E62" s="1">
        <v>96.449996999999996</v>
      </c>
      <c r="F62" s="1">
        <v>101.41999800000001</v>
      </c>
      <c r="G62" s="1">
        <v>101.41999800000001</v>
      </c>
      <c r="H62" s="8">
        <f t="shared" si="0"/>
        <v>3.4159253594371511E-2</v>
      </c>
    </row>
    <row r="63" spans="2:8">
      <c r="B63" s="4">
        <v>45231</v>
      </c>
      <c r="C63" s="1">
        <v>101.089996</v>
      </c>
      <c r="D63" s="1">
        <v>147.64999399999999</v>
      </c>
      <c r="E63" s="1">
        <v>98.080001999999993</v>
      </c>
      <c r="F63" s="1">
        <v>147.44000199999999</v>
      </c>
      <c r="G63" s="1">
        <v>147.44000199999999</v>
      </c>
      <c r="H63" s="8">
        <f t="shared" si="0"/>
        <v>0.45375670388003736</v>
      </c>
    </row>
    <row r="64" spans="2:8">
      <c r="B64" s="4">
        <v>45261</v>
      </c>
      <c r="C64" s="1">
        <v>143.320007</v>
      </c>
      <c r="D64" s="1">
        <v>150.66000399999999</v>
      </c>
      <c r="E64" s="1">
        <v>136.220001</v>
      </c>
      <c r="F64" s="1">
        <v>146.30999800000001</v>
      </c>
      <c r="G64" s="1">
        <v>146.30999800000001</v>
      </c>
      <c r="H64" s="8">
        <f t="shared" si="0"/>
        <v>-7.6641615889287999E-3</v>
      </c>
    </row>
    <row r="66" spans="6:7">
      <c r="F66" t="s">
        <v>139</v>
      </c>
      <c r="G66">
        <f>G64/G54-1</f>
        <v>0.66773045704785861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14A26-B5A3-40BA-99EE-0561858CC498}">
  <dimension ref="B2:H66"/>
  <sheetViews>
    <sheetView workbookViewId="0">
      <selection activeCell="K12" sqref="K12"/>
    </sheetView>
  </sheetViews>
  <sheetFormatPr defaultRowHeight="14.4"/>
  <cols>
    <col min="2" max="2" width="19.44140625" style="2" customWidth="1"/>
    <col min="3" max="3" width="9" customWidth="1"/>
    <col min="4" max="4" width="10.33203125" customWidth="1"/>
    <col min="6" max="6" width="13.109375" customWidth="1"/>
    <col min="7" max="7" width="10.44140625" customWidth="1"/>
    <col min="8" max="8" width="14.44140625" customWidth="1"/>
  </cols>
  <sheetData>
    <row r="2" spans="2:8">
      <c r="B2" s="3"/>
    </row>
    <row r="3" spans="2:8">
      <c r="B3" s="3" t="s">
        <v>5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140</v>
      </c>
    </row>
    <row r="4" spans="2:8">
      <c r="B4" s="4">
        <v>43435</v>
      </c>
      <c r="C4" s="10">
        <v>22.48</v>
      </c>
      <c r="D4" s="10">
        <v>23.75</v>
      </c>
      <c r="E4" s="10">
        <v>16.030000999999999</v>
      </c>
      <c r="F4" s="10">
        <v>18.459999</v>
      </c>
      <c r="G4" s="11">
        <v>18.459999</v>
      </c>
      <c r="H4" s="52"/>
    </row>
    <row r="5" spans="2:8">
      <c r="B5" s="4">
        <v>43466</v>
      </c>
      <c r="C5" s="10">
        <v>18.010000000000002</v>
      </c>
      <c r="D5" s="10">
        <v>25.139999</v>
      </c>
      <c r="E5" s="10">
        <v>16.940000999999999</v>
      </c>
      <c r="F5" s="10">
        <v>24.41</v>
      </c>
      <c r="G5" s="11">
        <v>24.41</v>
      </c>
      <c r="H5" s="53">
        <f>(G5-G4)/G4</f>
        <v>0.32231859817543873</v>
      </c>
    </row>
    <row r="6" spans="2:8">
      <c r="B6" s="4">
        <v>43497</v>
      </c>
      <c r="C6" s="10">
        <v>24.610001</v>
      </c>
      <c r="D6" s="10">
        <v>25.52</v>
      </c>
      <c r="E6" s="10">
        <v>22.27</v>
      </c>
      <c r="F6" s="10">
        <v>23.530000999999999</v>
      </c>
      <c r="G6" s="11">
        <v>23.530000999999999</v>
      </c>
      <c r="H6" s="53">
        <f t="shared" ref="H6:H64" si="0">(G6-G5)/G5</f>
        <v>-3.6050757886112311E-2</v>
      </c>
    </row>
    <row r="7" spans="2:8">
      <c r="B7" s="4">
        <v>43525</v>
      </c>
      <c r="C7" s="10">
        <v>23.969999000000001</v>
      </c>
      <c r="D7" s="10">
        <v>28.110001</v>
      </c>
      <c r="E7" s="10">
        <v>21.040001</v>
      </c>
      <c r="F7" s="10">
        <v>25.52</v>
      </c>
      <c r="G7" s="11">
        <v>25.52</v>
      </c>
      <c r="H7" s="53">
        <f t="shared" si="0"/>
        <v>8.4572839584664744E-2</v>
      </c>
    </row>
    <row r="8" spans="2:8">
      <c r="B8" s="4">
        <v>43556</v>
      </c>
      <c r="C8" s="10">
        <v>26.42</v>
      </c>
      <c r="D8" s="10">
        <v>29.950001</v>
      </c>
      <c r="E8" s="10">
        <v>25.83</v>
      </c>
      <c r="F8" s="10">
        <v>27.629999000000002</v>
      </c>
      <c r="G8" s="11">
        <v>27.629999000000002</v>
      </c>
      <c r="H8" s="53">
        <f t="shared" si="0"/>
        <v>8.2680211598746153E-2</v>
      </c>
    </row>
    <row r="9" spans="2:8">
      <c r="B9" s="4">
        <v>43586</v>
      </c>
      <c r="C9" s="10">
        <v>28.950001</v>
      </c>
      <c r="D9" s="10">
        <v>29.67</v>
      </c>
      <c r="E9" s="10">
        <v>26.030000999999999</v>
      </c>
      <c r="F9" s="10">
        <v>27.41</v>
      </c>
      <c r="G9" s="11">
        <v>27.41</v>
      </c>
      <c r="H9" s="53">
        <f t="shared" si="0"/>
        <v>-7.9623238495231709E-3</v>
      </c>
    </row>
    <row r="10" spans="2:8">
      <c r="B10" s="4">
        <v>43617</v>
      </c>
      <c r="C10" s="10">
        <v>28.75</v>
      </c>
      <c r="D10" s="10">
        <v>34.299999</v>
      </c>
      <c r="E10" s="10">
        <v>27.290001</v>
      </c>
      <c r="F10" s="10">
        <v>30.370000999999998</v>
      </c>
      <c r="G10" s="11">
        <v>30.370000999999998</v>
      </c>
      <c r="H10" s="53">
        <f t="shared" si="0"/>
        <v>0.10798982123312653</v>
      </c>
    </row>
    <row r="11" spans="2:8">
      <c r="B11" s="4">
        <v>43647</v>
      </c>
      <c r="C11" s="10">
        <v>31.790001</v>
      </c>
      <c r="D11" s="10">
        <v>34.860000999999997</v>
      </c>
      <c r="E11" s="10">
        <v>30.1</v>
      </c>
      <c r="F11" s="10">
        <v>30.450001</v>
      </c>
      <c r="G11" s="11">
        <v>30.450001</v>
      </c>
      <c r="H11" s="53">
        <f t="shared" si="0"/>
        <v>2.6341783788549054E-3</v>
      </c>
    </row>
    <row r="12" spans="2:8">
      <c r="B12" s="4">
        <v>43678</v>
      </c>
      <c r="C12" s="10">
        <v>30.5</v>
      </c>
      <c r="D12" s="10">
        <v>35.549999</v>
      </c>
      <c r="E12" s="10">
        <v>27.65</v>
      </c>
      <c r="F12" s="10">
        <v>31.450001</v>
      </c>
      <c r="G12" s="11">
        <v>31.450001</v>
      </c>
      <c r="H12" s="53">
        <f t="shared" si="0"/>
        <v>3.2840721417381889E-2</v>
      </c>
    </row>
    <row r="13" spans="2:8">
      <c r="B13" s="4">
        <v>43709</v>
      </c>
      <c r="C13" s="10">
        <v>30.83</v>
      </c>
      <c r="D13" s="10">
        <v>32.049999</v>
      </c>
      <c r="E13" s="10">
        <v>28.35</v>
      </c>
      <c r="F13" s="10">
        <v>28.99</v>
      </c>
      <c r="G13" s="11">
        <v>28.99</v>
      </c>
      <c r="H13" s="53">
        <f t="shared" si="0"/>
        <v>-7.8219425175852994E-2</v>
      </c>
    </row>
    <row r="14" spans="2:8">
      <c r="B14" s="4">
        <v>43739</v>
      </c>
      <c r="C14" s="10">
        <v>29.049999</v>
      </c>
      <c r="D14" s="10">
        <v>34.340000000000003</v>
      </c>
      <c r="E14" s="10">
        <v>27.43</v>
      </c>
      <c r="F14" s="10">
        <v>33.93</v>
      </c>
      <c r="G14" s="11">
        <v>33.93</v>
      </c>
      <c r="H14" s="53">
        <f t="shared" si="0"/>
        <v>0.17040358744394624</v>
      </c>
    </row>
    <row r="15" spans="2:8">
      <c r="B15" s="4">
        <v>43770</v>
      </c>
      <c r="C15" s="10">
        <v>34.369999</v>
      </c>
      <c r="D15" s="10">
        <v>41.790000999999997</v>
      </c>
      <c r="E15" s="10">
        <v>34.099997999999999</v>
      </c>
      <c r="F15" s="10">
        <v>39.150002000000001</v>
      </c>
      <c r="G15" s="11">
        <v>39.150002000000001</v>
      </c>
      <c r="H15" s="53">
        <f t="shared" si="0"/>
        <v>0.15384621279104041</v>
      </c>
    </row>
    <row r="16" spans="2:8">
      <c r="B16" s="4">
        <v>43800</v>
      </c>
      <c r="C16" s="10">
        <v>39.32</v>
      </c>
      <c r="D16" s="10">
        <v>47.310001</v>
      </c>
      <c r="E16" s="10">
        <v>37.150002000000001</v>
      </c>
      <c r="F16" s="10">
        <v>45.860000999999997</v>
      </c>
      <c r="G16" s="11">
        <v>45.860000999999997</v>
      </c>
      <c r="H16" s="53">
        <f t="shared" si="0"/>
        <v>0.17139204743846492</v>
      </c>
    </row>
    <row r="17" spans="2:8">
      <c r="B17" s="4">
        <v>43831</v>
      </c>
      <c r="C17" s="10">
        <v>46.860000999999997</v>
      </c>
      <c r="D17" s="10">
        <v>52.810001</v>
      </c>
      <c r="E17" s="10">
        <v>46.099997999999999</v>
      </c>
      <c r="F17" s="10">
        <v>47</v>
      </c>
      <c r="G17" s="11">
        <v>47</v>
      </c>
      <c r="H17" s="53">
        <f t="shared" si="0"/>
        <v>2.4858241935058031E-2</v>
      </c>
    </row>
    <row r="18" spans="2:8">
      <c r="B18" s="4">
        <v>43862</v>
      </c>
      <c r="C18" s="10">
        <v>46.400002000000001</v>
      </c>
      <c r="D18" s="10">
        <v>59.27</v>
      </c>
      <c r="E18" s="10">
        <v>41.040000999999997</v>
      </c>
      <c r="F18" s="10">
        <v>45.48</v>
      </c>
      <c r="G18" s="11">
        <v>45.48</v>
      </c>
      <c r="H18" s="53">
        <f t="shared" si="0"/>
        <v>-3.2340425531914962E-2</v>
      </c>
    </row>
    <row r="19" spans="2:8">
      <c r="B19" s="4">
        <v>43891</v>
      </c>
      <c r="C19" s="10">
        <v>47.419998</v>
      </c>
      <c r="D19" s="10">
        <v>50.200001</v>
      </c>
      <c r="E19" s="10">
        <v>36.75</v>
      </c>
      <c r="F19" s="10">
        <v>45.48</v>
      </c>
      <c r="G19" s="11">
        <v>45.48</v>
      </c>
      <c r="H19" s="53">
        <f t="shared" si="0"/>
        <v>0</v>
      </c>
    </row>
    <row r="20" spans="2:8">
      <c r="B20" s="4">
        <v>43922</v>
      </c>
      <c r="C20" s="10">
        <v>44.18</v>
      </c>
      <c r="D20" s="10">
        <v>58.630001</v>
      </c>
      <c r="E20" s="10">
        <v>41.700001</v>
      </c>
      <c r="F20" s="10">
        <v>52.389999000000003</v>
      </c>
      <c r="G20" s="11">
        <v>52.389999000000003</v>
      </c>
      <c r="H20" s="53">
        <f t="shared" si="0"/>
        <v>0.15193489445910305</v>
      </c>
    </row>
    <row r="21" spans="2:8">
      <c r="B21" s="4">
        <v>43952</v>
      </c>
      <c r="C21" s="10">
        <v>51.07</v>
      </c>
      <c r="D21" s="10">
        <v>56.98</v>
      </c>
      <c r="E21" s="10">
        <v>49.09</v>
      </c>
      <c r="F21" s="10">
        <v>53.799999</v>
      </c>
      <c r="G21" s="11">
        <v>53.799999</v>
      </c>
      <c r="H21" s="53">
        <f t="shared" si="0"/>
        <v>2.6913533630722086E-2</v>
      </c>
    </row>
    <row r="22" spans="2:8">
      <c r="B22" s="4">
        <v>43983</v>
      </c>
      <c r="C22" s="10">
        <v>53.310001</v>
      </c>
      <c r="D22" s="10">
        <v>59</v>
      </c>
      <c r="E22" s="10">
        <v>48.419998</v>
      </c>
      <c r="F22" s="10">
        <v>52.610000999999997</v>
      </c>
      <c r="G22" s="11">
        <v>52.610000999999997</v>
      </c>
      <c r="H22" s="53">
        <f t="shared" si="0"/>
        <v>-2.2118922344217938E-2</v>
      </c>
    </row>
    <row r="23" spans="2:8">
      <c r="B23" s="4">
        <v>44013</v>
      </c>
      <c r="C23" s="10">
        <v>52.630001</v>
      </c>
      <c r="D23" s="10">
        <v>78.959998999999996</v>
      </c>
      <c r="E23" s="10">
        <v>51.599997999999999</v>
      </c>
      <c r="F23" s="10">
        <v>77.430000000000007</v>
      </c>
      <c r="G23" s="11">
        <v>77.430000000000007</v>
      </c>
      <c r="H23" s="53">
        <f t="shared" si="0"/>
        <v>0.47177339912994892</v>
      </c>
    </row>
    <row r="24" spans="2:8">
      <c r="B24" s="4">
        <v>44044</v>
      </c>
      <c r="C24" s="10">
        <v>78.190002000000007</v>
      </c>
      <c r="D24" s="10">
        <v>92.639999000000003</v>
      </c>
      <c r="E24" s="10">
        <v>76.099997999999999</v>
      </c>
      <c r="F24" s="10">
        <v>90.82</v>
      </c>
      <c r="G24" s="11">
        <v>90.82</v>
      </c>
      <c r="H24" s="53">
        <f t="shared" si="0"/>
        <v>0.17293038873821498</v>
      </c>
    </row>
    <row r="25" spans="2:8">
      <c r="B25" s="4">
        <v>44075</v>
      </c>
      <c r="C25" s="10">
        <v>91.919998000000007</v>
      </c>
      <c r="D25" s="10">
        <v>94.279999000000004</v>
      </c>
      <c r="E25" s="10">
        <v>73.849997999999999</v>
      </c>
      <c r="F25" s="10">
        <v>81.989998</v>
      </c>
      <c r="G25" s="11">
        <v>81.989998</v>
      </c>
      <c r="H25" s="53">
        <f t="shared" si="0"/>
        <v>-9.7225302796740742E-2</v>
      </c>
    </row>
    <row r="26" spans="2:8">
      <c r="B26" s="4">
        <v>44105</v>
      </c>
      <c r="C26" s="10">
        <v>83.059997999999993</v>
      </c>
      <c r="D26" s="10">
        <v>88.720000999999996</v>
      </c>
      <c r="E26" s="10">
        <v>74.230002999999996</v>
      </c>
      <c r="F26" s="10">
        <v>75.290001000000004</v>
      </c>
      <c r="G26" s="11">
        <v>75.290001000000004</v>
      </c>
      <c r="H26" s="53">
        <f t="shared" si="0"/>
        <v>-8.171724799895709E-2</v>
      </c>
    </row>
    <row r="27" spans="2:8">
      <c r="B27" s="4">
        <v>44136</v>
      </c>
      <c r="C27" s="10">
        <v>75.849997999999999</v>
      </c>
      <c r="D27" s="10">
        <v>92.739998</v>
      </c>
      <c r="E27" s="10">
        <v>73.760002</v>
      </c>
      <c r="F27" s="10">
        <v>92.660004000000001</v>
      </c>
      <c r="G27" s="11">
        <v>92.660004000000001</v>
      </c>
      <c r="H27" s="53">
        <f t="shared" si="0"/>
        <v>0.23070796612155706</v>
      </c>
    </row>
    <row r="28" spans="2:8">
      <c r="B28" s="4">
        <v>44166</v>
      </c>
      <c r="C28" s="10">
        <v>92.25</v>
      </c>
      <c r="D28" s="10">
        <v>97.980002999999996</v>
      </c>
      <c r="E28" s="10">
        <v>89.029999000000004</v>
      </c>
      <c r="F28" s="10">
        <v>91.709998999999996</v>
      </c>
      <c r="G28" s="11">
        <v>91.709998999999996</v>
      </c>
      <c r="H28" s="53">
        <f t="shared" si="0"/>
        <v>-1.0252589671807099E-2</v>
      </c>
    </row>
    <row r="29" spans="2:8">
      <c r="B29" s="4">
        <v>44197</v>
      </c>
      <c r="C29" s="10">
        <v>92.110000999999997</v>
      </c>
      <c r="D29" s="10">
        <v>99.230002999999996</v>
      </c>
      <c r="E29" s="10">
        <v>85.019997000000004</v>
      </c>
      <c r="F29" s="10">
        <v>85.639999000000003</v>
      </c>
      <c r="G29" s="11">
        <v>85.639999000000003</v>
      </c>
      <c r="H29" s="53">
        <f t="shared" si="0"/>
        <v>-6.6186894190239751E-2</v>
      </c>
    </row>
    <row r="30" spans="2:8">
      <c r="B30" s="4">
        <v>44228</v>
      </c>
      <c r="C30" s="10">
        <v>86.830001999999993</v>
      </c>
      <c r="D30" s="10">
        <v>94.220000999999996</v>
      </c>
      <c r="E30" s="10">
        <v>79.360000999999997</v>
      </c>
      <c r="F30" s="10">
        <v>84.510002</v>
      </c>
      <c r="G30" s="11">
        <v>84.510002</v>
      </c>
      <c r="H30" s="53">
        <f t="shared" si="0"/>
        <v>-1.3194733923338824E-2</v>
      </c>
    </row>
    <row r="31" spans="2:8">
      <c r="B31" s="4">
        <v>44256</v>
      </c>
      <c r="C31" s="10">
        <v>85.370002999999997</v>
      </c>
      <c r="D31" s="10">
        <v>86.949996999999996</v>
      </c>
      <c r="E31" s="10">
        <v>73.860000999999997</v>
      </c>
      <c r="F31" s="10">
        <v>78.5</v>
      </c>
      <c r="G31" s="11">
        <v>78.5</v>
      </c>
      <c r="H31" s="53">
        <f t="shared" si="0"/>
        <v>-7.1115866261605348E-2</v>
      </c>
    </row>
    <row r="32" spans="2:8">
      <c r="B32" s="4">
        <v>44287</v>
      </c>
      <c r="C32" s="10">
        <v>80.160004000000001</v>
      </c>
      <c r="D32" s="10">
        <v>89.199996999999996</v>
      </c>
      <c r="E32" s="10">
        <v>77.940002000000007</v>
      </c>
      <c r="F32" s="10">
        <v>81.620002999999997</v>
      </c>
      <c r="G32" s="11">
        <v>81.620002999999997</v>
      </c>
      <c r="H32" s="53">
        <f t="shared" si="0"/>
        <v>3.9745261146496777E-2</v>
      </c>
    </row>
    <row r="33" spans="2:8">
      <c r="B33" s="4">
        <v>44317</v>
      </c>
      <c r="C33" s="10">
        <v>81.970000999999996</v>
      </c>
      <c r="D33" s="10">
        <v>82</v>
      </c>
      <c r="E33" s="10">
        <v>72.5</v>
      </c>
      <c r="F33" s="10">
        <v>80.080001999999993</v>
      </c>
      <c r="G33" s="11">
        <v>80.080001999999993</v>
      </c>
      <c r="H33" s="53">
        <f t="shared" si="0"/>
        <v>-1.8867936086696832E-2</v>
      </c>
    </row>
    <row r="34" spans="2:8">
      <c r="B34" s="4">
        <v>44348</v>
      </c>
      <c r="C34" s="10">
        <v>81.010002</v>
      </c>
      <c r="D34" s="10">
        <v>94.339995999999999</v>
      </c>
      <c r="E34" s="10">
        <v>78.959998999999996</v>
      </c>
      <c r="F34" s="10">
        <v>93.93</v>
      </c>
      <c r="G34" s="11">
        <v>93.93</v>
      </c>
      <c r="H34" s="53">
        <f t="shared" si="0"/>
        <v>0.17295201865754217</v>
      </c>
    </row>
    <row r="35" spans="2:8">
      <c r="B35" s="4">
        <v>44378</v>
      </c>
      <c r="C35" s="10">
        <v>94.040001000000004</v>
      </c>
      <c r="D35" s="10">
        <v>106.970001</v>
      </c>
      <c r="E35" s="10">
        <v>84.239998</v>
      </c>
      <c r="F35" s="10">
        <v>106.19000200000001</v>
      </c>
      <c r="G35" s="11">
        <v>106.19000200000001</v>
      </c>
      <c r="H35" s="53">
        <f t="shared" si="0"/>
        <v>0.13052275098477589</v>
      </c>
    </row>
    <row r="36" spans="2:8">
      <c r="B36" s="4">
        <v>44409</v>
      </c>
      <c r="C36" s="10">
        <v>105.93</v>
      </c>
      <c r="D36" s="10">
        <v>122.489998</v>
      </c>
      <c r="E36" s="10">
        <v>101.980003</v>
      </c>
      <c r="F36" s="10">
        <v>110.720001</v>
      </c>
      <c r="G36" s="11">
        <v>110.720001</v>
      </c>
      <c r="H36" s="53">
        <f t="shared" si="0"/>
        <v>4.2659373902262369E-2</v>
      </c>
    </row>
    <row r="37" spans="2:8">
      <c r="B37" s="4">
        <v>44440</v>
      </c>
      <c r="C37" s="10">
        <v>111.300003</v>
      </c>
      <c r="D37" s="10">
        <v>111.849998</v>
      </c>
      <c r="E37" s="10">
        <v>99.510002</v>
      </c>
      <c r="F37" s="10">
        <v>102.900002</v>
      </c>
      <c r="G37" s="11">
        <v>102.900002</v>
      </c>
      <c r="H37" s="53">
        <f t="shared" si="0"/>
        <v>-7.0628603047068222E-2</v>
      </c>
    </row>
    <row r="38" spans="2:8">
      <c r="B38" s="4">
        <v>44470</v>
      </c>
      <c r="C38" s="10">
        <v>102.599998</v>
      </c>
      <c r="D38" s="10">
        <v>128.08000200000001</v>
      </c>
      <c r="E38" s="10">
        <v>99.82</v>
      </c>
      <c r="F38" s="10">
        <v>120.230003</v>
      </c>
      <c r="G38" s="11">
        <v>120.230003</v>
      </c>
      <c r="H38" s="53">
        <f t="shared" si="0"/>
        <v>0.16841594424847528</v>
      </c>
    </row>
    <row r="39" spans="2:8">
      <c r="B39" s="4">
        <v>44501</v>
      </c>
      <c r="C39" s="10">
        <v>119.449997</v>
      </c>
      <c r="D39" s="10">
        <v>164.46000699999999</v>
      </c>
      <c r="E39" s="10">
        <v>118.129997</v>
      </c>
      <c r="F39" s="10">
        <v>158.36999499999999</v>
      </c>
      <c r="G39" s="11">
        <v>158.36999499999999</v>
      </c>
      <c r="H39" s="53">
        <f t="shared" si="0"/>
        <v>0.31722524368563804</v>
      </c>
    </row>
    <row r="40" spans="2:8">
      <c r="B40" s="4">
        <v>44531</v>
      </c>
      <c r="C40" s="10">
        <v>160.36999499999999</v>
      </c>
      <c r="D40" s="10">
        <v>160.88000500000001</v>
      </c>
      <c r="E40" s="10">
        <v>130.60000600000001</v>
      </c>
      <c r="F40" s="10">
        <v>143.89999399999999</v>
      </c>
      <c r="G40" s="11">
        <v>143.89999399999999</v>
      </c>
      <c r="H40" s="53">
        <f t="shared" si="0"/>
        <v>-9.1368323905042723E-2</v>
      </c>
    </row>
    <row r="41" spans="2:8">
      <c r="B41" s="4">
        <v>44562</v>
      </c>
      <c r="C41" s="10">
        <v>145.13999899999999</v>
      </c>
      <c r="D41" s="10">
        <v>152.41999799999999</v>
      </c>
      <c r="E41" s="10">
        <v>99.349997999999999</v>
      </c>
      <c r="F41" s="10">
        <v>114.25</v>
      </c>
      <c r="G41" s="11">
        <v>114.25</v>
      </c>
      <c r="H41" s="53">
        <f t="shared" si="0"/>
        <v>-0.20604583207974278</v>
      </c>
    </row>
    <row r="42" spans="2:8">
      <c r="B42" s="4">
        <v>44593</v>
      </c>
      <c r="C42" s="10">
        <v>116.75</v>
      </c>
      <c r="D42" s="10">
        <v>132.96000699999999</v>
      </c>
      <c r="E42" s="10">
        <v>104.260002</v>
      </c>
      <c r="F42" s="10">
        <v>123.339996</v>
      </c>
      <c r="G42" s="11">
        <v>123.339996</v>
      </c>
      <c r="H42" s="53">
        <f t="shared" si="0"/>
        <v>7.9562328227571116E-2</v>
      </c>
    </row>
    <row r="43" spans="2:8">
      <c r="B43" s="4">
        <v>44621</v>
      </c>
      <c r="C43" s="10">
        <v>122.33000199999999</v>
      </c>
      <c r="D43" s="10">
        <v>125.66999800000001</v>
      </c>
      <c r="E43" s="10">
        <v>100.08000199999999</v>
      </c>
      <c r="F43" s="10">
        <v>109.339996</v>
      </c>
      <c r="G43" s="11">
        <v>109.339996</v>
      </c>
      <c r="H43" s="53">
        <f t="shared" si="0"/>
        <v>-0.11350738166069017</v>
      </c>
    </row>
    <row r="44" spans="2:8">
      <c r="B44" s="4">
        <v>44652</v>
      </c>
      <c r="C44" s="10">
        <v>110.480003</v>
      </c>
      <c r="D44" s="10">
        <v>111.41999800000001</v>
      </c>
      <c r="E44" s="10">
        <v>84.019997000000004</v>
      </c>
      <c r="F44" s="10">
        <v>85.519997000000004</v>
      </c>
      <c r="G44" s="11">
        <v>85.519997000000004</v>
      </c>
      <c r="H44" s="53">
        <f t="shared" si="0"/>
        <v>-0.21785256878919215</v>
      </c>
    </row>
    <row r="45" spans="2:8">
      <c r="B45" s="4">
        <v>44682</v>
      </c>
      <c r="C45" s="10">
        <v>85.660004000000001</v>
      </c>
      <c r="D45" s="10">
        <v>104.550003</v>
      </c>
      <c r="E45" s="10">
        <v>83.269997000000004</v>
      </c>
      <c r="F45" s="10">
        <v>101.860001</v>
      </c>
      <c r="G45" s="11">
        <v>101.860001</v>
      </c>
      <c r="H45" s="53">
        <f t="shared" si="0"/>
        <v>0.1910664706875515</v>
      </c>
    </row>
    <row r="46" spans="2:8">
      <c r="B46" s="4">
        <v>44713</v>
      </c>
      <c r="C46" s="10">
        <v>102.129997</v>
      </c>
      <c r="D46" s="10">
        <v>109.57</v>
      </c>
      <c r="E46" s="10">
        <v>75.480002999999996</v>
      </c>
      <c r="F46" s="10">
        <v>76.470000999999996</v>
      </c>
      <c r="G46" s="11">
        <v>76.470000999999996</v>
      </c>
      <c r="H46" s="53">
        <f t="shared" si="0"/>
        <v>-0.24926369282089444</v>
      </c>
    </row>
    <row r="47" spans="2:8">
      <c r="B47" s="4">
        <v>44743</v>
      </c>
      <c r="C47" s="10">
        <v>75.190002000000007</v>
      </c>
      <c r="D47" s="10">
        <v>94.809997999999993</v>
      </c>
      <c r="E47" s="10">
        <v>71.599997999999999</v>
      </c>
      <c r="F47" s="10">
        <v>94.470000999999996</v>
      </c>
      <c r="G47" s="11">
        <v>94.470000999999996</v>
      </c>
      <c r="H47" s="53">
        <f t="shared" si="0"/>
        <v>0.23538642297127735</v>
      </c>
    </row>
    <row r="48" spans="2:8">
      <c r="B48" s="4">
        <v>44774</v>
      </c>
      <c r="C48" s="10">
        <v>95.589995999999999</v>
      </c>
      <c r="D48" s="10">
        <v>104.589996</v>
      </c>
      <c r="E48" s="10">
        <v>83.720000999999996</v>
      </c>
      <c r="F48" s="10">
        <v>84.870002999999997</v>
      </c>
      <c r="G48" s="11">
        <v>84.870002999999997</v>
      </c>
      <c r="H48" s="53">
        <f t="shared" si="0"/>
        <v>-0.10161953951921732</v>
      </c>
    </row>
    <row r="49" spans="2:8">
      <c r="B49" s="4">
        <v>44805</v>
      </c>
      <c r="C49" s="10">
        <v>82.349997999999999</v>
      </c>
      <c r="D49" s="10">
        <v>85.68</v>
      </c>
      <c r="E49" s="10">
        <v>62.830002</v>
      </c>
      <c r="F49" s="10">
        <v>63.360000999999997</v>
      </c>
      <c r="G49" s="11">
        <v>63.360000999999997</v>
      </c>
      <c r="H49" s="53">
        <f t="shared" si="0"/>
        <v>-0.25344646211453536</v>
      </c>
    </row>
    <row r="50" spans="2:8">
      <c r="B50" s="4">
        <v>44835</v>
      </c>
      <c r="C50" s="10">
        <v>64.459998999999996</v>
      </c>
      <c r="D50" s="10">
        <v>70.290001000000004</v>
      </c>
      <c r="E50" s="10">
        <v>54.57</v>
      </c>
      <c r="F50" s="10">
        <v>60.060001</v>
      </c>
      <c r="G50" s="11">
        <v>60.060001</v>
      </c>
      <c r="H50" s="53">
        <f t="shared" si="0"/>
        <v>-5.2083332511310997E-2</v>
      </c>
    </row>
    <row r="51" spans="2:8">
      <c r="B51" s="4">
        <v>44866</v>
      </c>
      <c r="C51" s="10">
        <v>61.490001999999997</v>
      </c>
      <c r="D51" s="10">
        <v>79.160004000000001</v>
      </c>
      <c r="E51" s="10">
        <v>58.029998999999997</v>
      </c>
      <c r="F51" s="10">
        <v>77.629997000000003</v>
      </c>
      <c r="G51" s="11">
        <v>77.629997000000003</v>
      </c>
      <c r="H51" s="53">
        <f t="shared" si="0"/>
        <v>0.29254072106991813</v>
      </c>
    </row>
    <row r="52" spans="2:8">
      <c r="B52" s="4">
        <v>44896</v>
      </c>
      <c r="C52" s="10">
        <v>78.309997999999993</v>
      </c>
      <c r="D52" s="10">
        <v>79.230002999999996</v>
      </c>
      <c r="E52" s="10">
        <v>61.959999000000003</v>
      </c>
      <c r="F52" s="10">
        <v>64.769997000000004</v>
      </c>
      <c r="G52" s="11">
        <v>64.769997000000004</v>
      </c>
      <c r="H52" s="53">
        <f t="shared" si="0"/>
        <v>-0.16565761299720261</v>
      </c>
    </row>
    <row r="53" spans="2:8">
      <c r="B53" s="4">
        <v>44927</v>
      </c>
      <c r="C53" s="10">
        <v>66</v>
      </c>
      <c r="D53" s="10">
        <v>77.080001999999993</v>
      </c>
      <c r="E53" s="10">
        <v>60.049999</v>
      </c>
      <c r="F53" s="10">
        <v>75.150002000000001</v>
      </c>
      <c r="G53" s="11">
        <v>75.150002000000001</v>
      </c>
      <c r="H53" s="53">
        <f t="shared" si="0"/>
        <v>0.160259463961377</v>
      </c>
    </row>
    <row r="54" spans="2:8">
      <c r="B54" s="4">
        <v>44958</v>
      </c>
      <c r="C54" s="10">
        <v>78.470000999999996</v>
      </c>
      <c r="D54" s="10">
        <v>88.940002000000007</v>
      </c>
      <c r="E54" s="10">
        <v>75.919998000000007</v>
      </c>
      <c r="F54" s="10">
        <v>78.580001999999993</v>
      </c>
      <c r="G54" s="11">
        <v>78.580001999999993</v>
      </c>
      <c r="H54" s="53">
        <f t="shared" si="0"/>
        <v>4.5642048020171612E-2</v>
      </c>
    </row>
    <row r="55" spans="2:8">
      <c r="B55" s="4">
        <v>44986</v>
      </c>
      <c r="C55" s="10">
        <v>78.550003000000004</v>
      </c>
      <c r="D55" s="10">
        <v>102.43</v>
      </c>
      <c r="E55" s="10">
        <v>76.650002000000001</v>
      </c>
      <c r="F55" s="10">
        <v>98.010002</v>
      </c>
      <c r="G55" s="11">
        <v>98.010002</v>
      </c>
      <c r="H55" s="53">
        <f t="shared" si="0"/>
        <v>0.24726392855016735</v>
      </c>
    </row>
    <row r="56" spans="2:8">
      <c r="B56" s="4">
        <v>45017</v>
      </c>
      <c r="C56" s="10">
        <v>96.699996999999996</v>
      </c>
      <c r="D56" s="10">
        <v>97.269997000000004</v>
      </c>
      <c r="E56" s="10">
        <v>83.760002</v>
      </c>
      <c r="F56" s="10">
        <v>89.370002999999997</v>
      </c>
      <c r="G56" s="11">
        <v>89.370002999999997</v>
      </c>
      <c r="H56" s="53">
        <f t="shared" si="0"/>
        <v>-8.815425797052838E-2</v>
      </c>
    </row>
    <row r="57" spans="2:8">
      <c r="B57" s="4">
        <v>45047</v>
      </c>
      <c r="C57" s="10">
        <v>91.029999000000004</v>
      </c>
      <c r="D57" s="10">
        <v>130.78999300000001</v>
      </c>
      <c r="E57" s="10">
        <v>81.019997000000004</v>
      </c>
      <c r="F57" s="10">
        <v>118.209999</v>
      </c>
      <c r="G57" s="11">
        <v>118.209999</v>
      </c>
      <c r="H57" s="53">
        <f t="shared" si="0"/>
        <v>0.32270331243023459</v>
      </c>
    </row>
    <row r="58" spans="2:8">
      <c r="B58" s="4">
        <v>45078</v>
      </c>
      <c r="C58" s="10">
        <v>117.290001</v>
      </c>
      <c r="D58" s="10">
        <v>132.83000200000001</v>
      </c>
      <c r="E58" s="10">
        <v>107.08000199999999</v>
      </c>
      <c r="F58" s="10">
        <v>113.910004</v>
      </c>
      <c r="G58" s="11">
        <v>113.910004</v>
      </c>
      <c r="H58" s="53">
        <f t="shared" si="0"/>
        <v>-3.6375899131849208E-2</v>
      </c>
    </row>
    <row r="59" spans="2:8">
      <c r="B59" s="4">
        <v>45108</v>
      </c>
      <c r="C59" s="10">
        <v>115.160004</v>
      </c>
      <c r="D59" s="10">
        <v>122.120003</v>
      </c>
      <c r="E59" s="10">
        <v>108.550003</v>
      </c>
      <c r="F59" s="10">
        <v>114.400002</v>
      </c>
      <c r="G59" s="11">
        <v>114.400002</v>
      </c>
      <c r="H59" s="53">
        <f t="shared" si="0"/>
        <v>4.301623938139796E-3</v>
      </c>
    </row>
    <row r="60" spans="2:8">
      <c r="B60" s="4">
        <v>45139</v>
      </c>
      <c r="C60" s="10">
        <v>114.260002</v>
      </c>
      <c r="D60" s="10">
        <v>119.5</v>
      </c>
      <c r="E60" s="10">
        <v>99.580001999999993</v>
      </c>
      <c r="F60" s="10">
        <v>105.720001</v>
      </c>
      <c r="G60" s="11">
        <v>105.720001</v>
      </c>
      <c r="H60" s="53">
        <f t="shared" si="0"/>
        <v>-7.5874133288913792E-2</v>
      </c>
    </row>
    <row r="61" spans="2:8">
      <c r="B61" s="4">
        <v>45170</v>
      </c>
      <c r="C61" s="10">
        <v>107</v>
      </c>
      <c r="D61" s="10">
        <v>111.82</v>
      </c>
      <c r="E61" s="10">
        <v>94.459998999999996</v>
      </c>
      <c r="F61" s="10">
        <v>102.82</v>
      </c>
      <c r="G61" s="11">
        <v>102.82</v>
      </c>
      <c r="H61" s="53">
        <f t="shared" si="0"/>
        <v>-2.743095887787594E-2</v>
      </c>
    </row>
    <row r="62" spans="2:8">
      <c r="B62" s="4">
        <v>45200</v>
      </c>
      <c r="C62" s="10">
        <v>102.209999</v>
      </c>
      <c r="D62" s="10">
        <v>111.30999799999999</v>
      </c>
      <c r="E62" s="10">
        <v>93.120002999999997</v>
      </c>
      <c r="F62" s="10">
        <v>98.5</v>
      </c>
      <c r="G62" s="11">
        <v>98.5</v>
      </c>
      <c r="H62" s="53">
        <f t="shared" si="0"/>
        <v>-4.2015172145496923E-2</v>
      </c>
    </row>
    <row r="63" spans="2:8">
      <c r="B63" s="4">
        <v>45231</v>
      </c>
      <c r="C63" s="10">
        <v>98.580001999999993</v>
      </c>
      <c r="D63" s="10">
        <v>125.730003</v>
      </c>
      <c r="E63" s="10">
        <v>98.5</v>
      </c>
      <c r="F63" s="10">
        <v>121.160004</v>
      </c>
      <c r="G63" s="11">
        <v>121.160004</v>
      </c>
      <c r="H63" s="53">
        <f t="shared" si="0"/>
        <v>0.23005080203045686</v>
      </c>
    </row>
    <row r="64" spans="2:8">
      <c r="B64" s="4">
        <v>45261</v>
      </c>
      <c r="C64">
        <v>119.879997</v>
      </c>
      <c r="D64">
        <v>151.050003</v>
      </c>
      <c r="E64">
        <v>116.370003</v>
      </c>
      <c r="F64">
        <v>147.41000399999999</v>
      </c>
      <c r="G64" s="11">
        <v>147.41000399999999</v>
      </c>
      <c r="H64" s="53">
        <f t="shared" si="0"/>
        <v>0.2166556547819195</v>
      </c>
    </row>
    <row r="66" spans="6:7">
      <c r="F66" t="s">
        <v>139</v>
      </c>
      <c r="G66">
        <f>G64/G52-1</f>
        <v>1.2758995032839042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B5CE-DC75-4E56-B194-025F95CFDD29}">
  <dimension ref="B2:H65"/>
  <sheetViews>
    <sheetView workbookViewId="0">
      <selection activeCell="H4" sqref="H4"/>
    </sheetView>
  </sheetViews>
  <sheetFormatPr defaultRowHeight="14.4"/>
  <cols>
    <col min="2" max="2" width="21.6640625" style="2" customWidth="1"/>
    <col min="6" max="6" width="11.44140625" customWidth="1"/>
    <col min="8" max="8" width="16.33203125" customWidth="1"/>
  </cols>
  <sheetData>
    <row r="2" spans="2:8">
      <c r="B2" s="3" t="s">
        <v>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140</v>
      </c>
    </row>
    <row r="3" spans="2:8">
      <c r="B3" s="4">
        <v>43435</v>
      </c>
      <c r="C3">
        <v>45.900002000000001</v>
      </c>
      <c r="D3">
        <v>47.790000999999997</v>
      </c>
      <c r="E3">
        <v>38.450001</v>
      </c>
      <c r="F3">
        <v>42.459999000000003</v>
      </c>
      <c r="G3">
        <v>42.459999000000003</v>
      </c>
    </row>
    <row r="4" spans="2:8">
      <c r="B4" s="4">
        <v>43466</v>
      </c>
      <c r="C4">
        <v>41.630001</v>
      </c>
      <c r="D4">
        <v>51.43</v>
      </c>
      <c r="E4">
        <v>41.41</v>
      </c>
      <c r="F4">
        <v>50.59</v>
      </c>
      <c r="G4">
        <v>50.59</v>
      </c>
      <c r="H4" s="53">
        <f>(G4-G3)/G3</f>
        <v>0.19147435684112946</v>
      </c>
    </row>
    <row r="5" spans="2:8">
      <c r="B5" s="4">
        <v>43497</v>
      </c>
      <c r="C5">
        <v>50.779998999999997</v>
      </c>
      <c r="D5">
        <v>55.380001</v>
      </c>
      <c r="E5">
        <v>47.16</v>
      </c>
      <c r="F5">
        <v>52.549999</v>
      </c>
      <c r="G5">
        <v>52.549999</v>
      </c>
      <c r="H5" s="53">
        <f t="shared" ref="H5:H63" si="0">(G5-G4)/G4</f>
        <v>3.8742814785530662E-2</v>
      </c>
    </row>
    <row r="6" spans="2:8">
      <c r="B6" s="4">
        <v>43525</v>
      </c>
      <c r="C6">
        <v>53.080002</v>
      </c>
      <c r="D6">
        <v>56.040000999999997</v>
      </c>
      <c r="E6">
        <v>49.060001</v>
      </c>
      <c r="F6">
        <v>52.84</v>
      </c>
      <c r="G6">
        <v>52.84</v>
      </c>
      <c r="H6" s="53">
        <f t="shared" si="0"/>
        <v>5.5185728928368533E-3</v>
      </c>
    </row>
    <row r="7" spans="2:8">
      <c r="B7" s="4">
        <v>43556</v>
      </c>
      <c r="C7">
        <v>53.290000999999997</v>
      </c>
      <c r="D7">
        <v>62.66</v>
      </c>
      <c r="E7">
        <v>53.18</v>
      </c>
      <c r="F7">
        <v>61.529998999999997</v>
      </c>
      <c r="G7">
        <v>61.529998999999997</v>
      </c>
      <c r="H7" s="53">
        <f t="shared" si="0"/>
        <v>0.16445872445117321</v>
      </c>
    </row>
    <row r="8" spans="2:8">
      <c r="B8" s="4">
        <v>43586</v>
      </c>
      <c r="C8">
        <v>62.09</v>
      </c>
      <c r="D8">
        <v>63.82</v>
      </c>
      <c r="E8">
        <v>56.540000999999997</v>
      </c>
      <c r="F8">
        <v>58.040000999999997</v>
      </c>
      <c r="G8">
        <v>58.040000999999997</v>
      </c>
      <c r="H8" s="53">
        <f t="shared" si="0"/>
        <v>-5.6720267458479891E-2</v>
      </c>
    </row>
    <row r="9" spans="2:8">
      <c r="B9" s="4">
        <v>43617</v>
      </c>
      <c r="C9">
        <v>58</v>
      </c>
      <c r="D9">
        <v>66.050003000000004</v>
      </c>
      <c r="E9">
        <v>57.400002000000001</v>
      </c>
      <c r="F9">
        <v>65.680000000000007</v>
      </c>
      <c r="G9">
        <v>65.680000000000007</v>
      </c>
      <c r="H9" s="53">
        <f t="shared" si="0"/>
        <v>0.13163333680852299</v>
      </c>
    </row>
    <row r="10" spans="2:8">
      <c r="B10" s="4">
        <v>43647</v>
      </c>
      <c r="C10">
        <v>66.300003000000004</v>
      </c>
      <c r="D10">
        <v>67.989998</v>
      </c>
      <c r="E10">
        <v>64.089995999999999</v>
      </c>
      <c r="F10">
        <v>64.489998</v>
      </c>
      <c r="G10">
        <v>64.489998</v>
      </c>
      <c r="H10" s="53">
        <f t="shared" si="0"/>
        <v>-1.81181790499392E-2</v>
      </c>
    </row>
    <row r="11" spans="2:8">
      <c r="B11" s="4">
        <v>43678</v>
      </c>
      <c r="C11">
        <v>65.519997000000004</v>
      </c>
      <c r="D11">
        <v>69.239998</v>
      </c>
      <c r="E11">
        <v>58.57</v>
      </c>
      <c r="F11">
        <v>62.07</v>
      </c>
      <c r="G11">
        <v>62.07</v>
      </c>
      <c r="H11" s="53">
        <f t="shared" si="0"/>
        <v>-3.7525167856261983E-2</v>
      </c>
    </row>
    <row r="12" spans="2:8">
      <c r="B12" s="4">
        <v>43709</v>
      </c>
      <c r="C12">
        <v>61.290000999999997</v>
      </c>
      <c r="D12">
        <v>68.550003000000004</v>
      </c>
      <c r="E12">
        <v>55.950001</v>
      </c>
      <c r="F12">
        <v>58.009998000000003</v>
      </c>
      <c r="G12">
        <v>58.009998000000003</v>
      </c>
      <c r="H12" s="53">
        <f t="shared" si="0"/>
        <v>-6.5410053165780524E-2</v>
      </c>
    </row>
    <row r="13" spans="2:8">
      <c r="B13" s="4">
        <v>43739</v>
      </c>
      <c r="C13">
        <v>58.400002000000001</v>
      </c>
      <c r="D13">
        <v>62.889999000000003</v>
      </c>
      <c r="E13">
        <v>50.220001000000003</v>
      </c>
      <c r="F13">
        <v>51.790000999999997</v>
      </c>
      <c r="G13">
        <v>51.790000999999997</v>
      </c>
      <c r="H13" s="53">
        <f t="shared" si="0"/>
        <v>-0.10722284458620403</v>
      </c>
    </row>
    <row r="14" spans="2:8">
      <c r="B14" s="4">
        <v>43770</v>
      </c>
      <c r="C14">
        <v>52.259998000000003</v>
      </c>
      <c r="D14">
        <v>55.799999</v>
      </c>
      <c r="E14">
        <v>51.43</v>
      </c>
      <c r="F14">
        <v>55.240001999999997</v>
      </c>
      <c r="G14">
        <v>55.240001999999997</v>
      </c>
      <c r="H14" s="53">
        <f t="shared" si="0"/>
        <v>6.6615194697524735E-2</v>
      </c>
    </row>
    <row r="15" spans="2:8">
      <c r="B15" s="4">
        <v>43800</v>
      </c>
      <c r="C15">
        <v>55.52</v>
      </c>
      <c r="D15">
        <v>59</v>
      </c>
      <c r="E15">
        <v>52.25</v>
      </c>
      <c r="F15">
        <v>55.959999000000003</v>
      </c>
      <c r="G15">
        <v>55.959999000000003</v>
      </c>
      <c r="H15" s="53">
        <f t="shared" si="0"/>
        <v>1.3033978528820591E-2</v>
      </c>
    </row>
    <row r="16" spans="2:8">
      <c r="B16" s="4">
        <v>43831</v>
      </c>
      <c r="C16">
        <v>56.400002000000001</v>
      </c>
      <c r="D16">
        <v>59.099997999999999</v>
      </c>
      <c r="E16">
        <v>49.25</v>
      </c>
      <c r="F16">
        <v>49.580002</v>
      </c>
      <c r="G16">
        <v>49.580002</v>
      </c>
      <c r="H16" s="53">
        <f t="shared" si="0"/>
        <v>-0.11400995557558896</v>
      </c>
    </row>
    <row r="17" spans="2:8">
      <c r="B17" s="4">
        <v>43862</v>
      </c>
      <c r="C17">
        <v>49.880001</v>
      </c>
      <c r="D17">
        <v>59.900002000000001</v>
      </c>
      <c r="E17">
        <v>42.5</v>
      </c>
      <c r="F17">
        <v>45.77</v>
      </c>
      <c r="G17">
        <v>45.77</v>
      </c>
      <c r="H17" s="53">
        <f t="shared" si="0"/>
        <v>-7.6845539457622389E-2</v>
      </c>
    </row>
    <row r="18" spans="2:8">
      <c r="B18" s="4">
        <v>43891</v>
      </c>
      <c r="C18">
        <v>45.880001</v>
      </c>
      <c r="D18">
        <v>46.220001000000003</v>
      </c>
      <c r="E18">
        <v>28.469999000000001</v>
      </c>
      <c r="F18">
        <v>36.060001</v>
      </c>
      <c r="G18">
        <v>36.060001</v>
      </c>
      <c r="H18" s="53">
        <f t="shared" si="0"/>
        <v>-0.21214767314835051</v>
      </c>
    </row>
    <row r="19" spans="2:8">
      <c r="B19" s="4">
        <v>43922</v>
      </c>
      <c r="C19">
        <v>34.75</v>
      </c>
      <c r="D19">
        <v>45.68</v>
      </c>
      <c r="E19">
        <v>33</v>
      </c>
      <c r="F19">
        <v>44.009998000000003</v>
      </c>
      <c r="G19">
        <v>44.009998000000003</v>
      </c>
      <c r="H19" s="53">
        <f t="shared" si="0"/>
        <v>0.22046580087449258</v>
      </c>
    </row>
    <row r="20" spans="2:8">
      <c r="B20" s="4">
        <v>43952</v>
      </c>
      <c r="C20">
        <v>42.5</v>
      </c>
      <c r="D20">
        <v>47.599997999999999</v>
      </c>
      <c r="E20">
        <v>37.919998</v>
      </c>
      <c r="F20">
        <v>46.619999</v>
      </c>
      <c r="G20">
        <v>46.619999</v>
      </c>
      <c r="H20" s="53">
        <f t="shared" si="0"/>
        <v>5.9304728893648136E-2</v>
      </c>
    </row>
    <row r="21" spans="2:8">
      <c r="B21" s="4">
        <v>43983</v>
      </c>
      <c r="C21">
        <v>46.5</v>
      </c>
      <c r="D21">
        <v>54.5</v>
      </c>
      <c r="E21">
        <v>46.259998000000003</v>
      </c>
      <c r="F21">
        <v>49.5</v>
      </c>
      <c r="G21">
        <v>49.5</v>
      </c>
      <c r="H21" s="53">
        <f t="shared" si="0"/>
        <v>6.1776084551181568E-2</v>
      </c>
    </row>
    <row r="22" spans="2:8">
      <c r="B22" s="4">
        <v>44013</v>
      </c>
      <c r="C22">
        <v>49.279998999999997</v>
      </c>
      <c r="D22">
        <v>63.68</v>
      </c>
      <c r="E22">
        <v>49.040000999999997</v>
      </c>
      <c r="F22">
        <v>59.549999</v>
      </c>
      <c r="G22">
        <v>59.549999</v>
      </c>
      <c r="H22" s="53">
        <f t="shared" si="0"/>
        <v>0.20303028282828281</v>
      </c>
    </row>
    <row r="23" spans="2:8">
      <c r="B23" s="4">
        <v>44044</v>
      </c>
      <c r="C23">
        <v>60</v>
      </c>
      <c r="D23">
        <v>81.870002999999997</v>
      </c>
      <c r="E23">
        <v>59.290000999999997</v>
      </c>
      <c r="F23">
        <v>76.589995999999999</v>
      </c>
      <c r="G23">
        <v>76.589995999999999</v>
      </c>
      <c r="H23" s="53">
        <f t="shared" si="0"/>
        <v>0.28614605014518973</v>
      </c>
    </row>
    <row r="24" spans="2:8">
      <c r="B24" s="4">
        <v>44075</v>
      </c>
      <c r="C24">
        <v>76.610000999999997</v>
      </c>
      <c r="D24">
        <v>79.160004000000001</v>
      </c>
      <c r="E24">
        <v>59.52</v>
      </c>
      <c r="F24">
        <v>66.199996999999996</v>
      </c>
      <c r="G24">
        <v>66.199996999999996</v>
      </c>
      <c r="H24" s="53">
        <f t="shared" si="0"/>
        <v>-0.13565739055528875</v>
      </c>
    </row>
    <row r="25" spans="2:8">
      <c r="B25" s="4">
        <v>44105</v>
      </c>
      <c r="C25">
        <v>67.269997000000004</v>
      </c>
      <c r="D25">
        <v>97.93</v>
      </c>
      <c r="E25">
        <v>66.709998999999996</v>
      </c>
      <c r="F25">
        <v>87.050003000000004</v>
      </c>
      <c r="G25">
        <v>87.050003000000004</v>
      </c>
      <c r="H25" s="53">
        <f t="shared" si="0"/>
        <v>0.31495478768677299</v>
      </c>
    </row>
    <row r="26" spans="2:8">
      <c r="B26" s="4">
        <v>44136</v>
      </c>
      <c r="C26">
        <v>89</v>
      </c>
      <c r="D26">
        <v>98.459998999999996</v>
      </c>
      <c r="E26">
        <v>77.769997000000004</v>
      </c>
      <c r="F26">
        <v>93.43</v>
      </c>
      <c r="G26">
        <v>93.43</v>
      </c>
      <c r="H26" s="53">
        <f t="shared" si="0"/>
        <v>7.3291174958374242E-2</v>
      </c>
    </row>
    <row r="27" spans="2:8">
      <c r="B27" s="4">
        <v>44166</v>
      </c>
      <c r="C27">
        <v>90.879997000000003</v>
      </c>
      <c r="D27">
        <v>109.089996</v>
      </c>
      <c r="E27">
        <v>84.769997000000004</v>
      </c>
      <c r="F27">
        <v>98.919998000000007</v>
      </c>
      <c r="G27">
        <v>98.919998000000007</v>
      </c>
      <c r="H27" s="53">
        <f t="shared" si="0"/>
        <v>5.876054800385315E-2</v>
      </c>
    </row>
    <row r="28" spans="2:8">
      <c r="B28" s="4">
        <v>44197</v>
      </c>
      <c r="C28">
        <v>101.58000199999999</v>
      </c>
      <c r="D28">
        <v>112.5</v>
      </c>
      <c r="E28">
        <v>91.300003000000004</v>
      </c>
      <c r="F28">
        <v>99.150002000000001</v>
      </c>
      <c r="G28">
        <v>99.150002000000001</v>
      </c>
      <c r="H28" s="53">
        <f t="shared" si="0"/>
        <v>2.3251516846977075E-3</v>
      </c>
    </row>
    <row r="29" spans="2:8">
      <c r="B29" s="4">
        <v>44228</v>
      </c>
      <c r="C29">
        <v>99.580001999999993</v>
      </c>
      <c r="D29">
        <v>104.989998</v>
      </c>
      <c r="E29">
        <v>77.900002000000001</v>
      </c>
      <c r="F29">
        <v>81.019997000000004</v>
      </c>
      <c r="G29">
        <v>81.019997000000004</v>
      </c>
      <c r="H29" s="53">
        <f t="shared" si="0"/>
        <v>-0.18285430796057872</v>
      </c>
    </row>
    <row r="30" spans="2:8">
      <c r="B30" s="4">
        <v>44256</v>
      </c>
      <c r="C30">
        <v>82.230002999999996</v>
      </c>
      <c r="D30">
        <v>88.900002000000001</v>
      </c>
      <c r="E30">
        <v>68.069999999999993</v>
      </c>
      <c r="F30">
        <v>87.300003000000004</v>
      </c>
      <c r="G30">
        <v>87.300003000000004</v>
      </c>
      <c r="H30" s="53">
        <f t="shared" si="0"/>
        <v>7.7511802425764095E-2</v>
      </c>
    </row>
    <row r="31" spans="2:8">
      <c r="B31" s="4">
        <v>44287</v>
      </c>
      <c r="C31">
        <v>88.790001000000004</v>
      </c>
      <c r="D31">
        <v>91.120002999999997</v>
      </c>
      <c r="E31">
        <v>75.760002</v>
      </c>
      <c r="F31">
        <v>76.529999000000004</v>
      </c>
      <c r="G31">
        <v>76.529999000000004</v>
      </c>
      <c r="H31" s="53">
        <f t="shared" si="0"/>
        <v>-0.1233677391740754</v>
      </c>
    </row>
    <row r="32" spans="2:8">
      <c r="B32" s="4">
        <v>44317</v>
      </c>
      <c r="C32">
        <v>77.620002999999997</v>
      </c>
      <c r="D32">
        <v>78.180000000000007</v>
      </c>
      <c r="E32">
        <v>67.709998999999996</v>
      </c>
      <c r="F32">
        <v>76.110000999999997</v>
      </c>
      <c r="G32">
        <v>76.110000999999997</v>
      </c>
      <c r="H32" s="53">
        <f t="shared" si="0"/>
        <v>-5.4880178425195944E-3</v>
      </c>
    </row>
    <row r="33" spans="2:8">
      <c r="B33" s="4">
        <v>44348</v>
      </c>
      <c r="C33">
        <v>77.239998</v>
      </c>
      <c r="D33">
        <v>94.080001999999993</v>
      </c>
      <c r="E33">
        <v>73.910004000000001</v>
      </c>
      <c r="F33">
        <v>90.510002</v>
      </c>
      <c r="G33">
        <v>90.510002</v>
      </c>
      <c r="H33" s="53">
        <f t="shared" si="0"/>
        <v>0.18919985298646894</v>
      </c>
    </row>
    <row r="34" spans="2:8">
      <c r="B34" s="4">
        <v>44378</v>
      </c>
      <c r="C34">
        <v>91.260002</v>
      </c>
      <c r="D34">
        <v>95.639999000000003</v>
      </c>
      <c r="E34">
        <v>78.930000000000007</v>
      </c>
      <c r="F34">
        <v>86.040001000000004</v>
      </c>
      <c r="G34">
        <v>86.040001000000004</v>
      </c>
      <c r="H34" s="53">
        <f t="shared" si="0"/>
        <v>-4.9386818044706224E-2</v>
      </c>
    </row>
    <row r="35" spans="2:8">
      <c r="B35" s="4">
        <v>44409</v>
      </c>
      <c r="C35">
        <v>89.040001000000004</v>
      </c>
      <c r="D35">
        <v>97.550003000000004</v>
      </c>
      <c r="E35">
        <v>86.660004000000001</v>
      </c>
      <c r="F35">
        <v>94</v>
      </c>
      <c r="G35">
        <v>94</v>
      </c>
      <c r="H35" s="53">
        <f t="shared" si="0"/>
        <v>9.2515096553752896E-2</v>
      </c>
    </row>
    <row r="36" spans="2:8">
      <c r="B36" s="4">
        <v>44440</v>
      </c>
      <c r="C36">
        <v>94.459998999999996</v>
      </c>
      <c r="D36">
        <v>107.269997</v>
      </c>
      <c r="E36">
        <v>90.18</v>
      </c>
      <c r="F36">
        <v>95.459998999999996</v>
      </c>
      <c r="G36">
        <v>95.459998999999996</v>
      </c>
      <c r="H36" s="53">
        <f t="shared" si="0"/>
        <v>1.5531904255319109E-2</v>
      </c>
    </row>
    <row r="37" spans="2:8">
      <c r="B37" s="4">
        <v>44470</v>
      </c>
      <c r="C37">
        <v>96.269997000000004</v>
      </c>
      <c r="D37">
        <v>120.900002</v>
      </c>
      <c r="E37">
        <v>92.760002</v>
      </c>
      <c r="F37">
        <v>119.589996</v>
      </c>
      <c r="G37">
        <v>119.589996</v>
      </c>
      <c r="H37" s="53">
        <f t="shared" si="0"/>
        <v>0.25277600306700199</v>
      </c>
    </row>
    <row r="38" spans="2:8">
      <c r="B38" s="4">
        <v>44501</v>
      </c>
      <c r="C38">
        <v>120.25</v>
      </c>
      <c r="D38">
        <v>123.129997</v>
      </c>
      <c r="E38">
        <v>101.129997</v>
      </c>
      <c r="F38">
        <v>103.599998</v>
      </c>
      <c r="G38">
        <v>103.599998</v>
      </c>
      <c r="H38" s="53">
        <f t="shared" si="0"/>
        <v>-0.13370681942325677</v>
      </c>
    </row>
    <row r="39" spans="2:8">
      <c r="B39" s="4">
        <v>44531</v>
      </c>
      <c r="C39">
        <v>105.910004</v>
      </c>
      <c r="D39">
        <v>108.18</v>
      </c>
      <c r="E39">
        <v>84.779999000000004</v>
      </c>
      <c r="F39">
        <v>87.160004000000001</v>
      </c>
      <c r="G39">
        <v>87.160004000000001</v>
      </c>
      <c r="H39" s="53">
        <f t="shared" si="0"/>
        <v>-0.15868720383566029</v>
      </c>
    </row>
    <row r="40" spans="2:8">
      <c r="B40" s="4">
        <v>44562</v>
      </c>
      <c r="C40">
        <v>88.010002</v>
      </c>
      <c r="D40">
        <v>91.360000999999997</v>
      </c>
      <c r="E40">
        <v>69.860000999999997</v>
      </c>
      <c r="F40">
        <v>78.379997000000003</v>
      </c>
      <c r="G40">
        <v>78.379997000000003</v>
      </c>
      <c r="H40" s="53">
        <f t="shared" si="0"/>
        <v>-0.10073435746974034</v>
      </c>
    </row>
    <row r="41" spans="2:8">
      <c r="B41" s="4">
        <v>44593</v>
      </c>
      <c r="C41">
        <v>78.319999999999993</v>
      </c>
      <c r="D41">
        <v>78.870002999999997</v>
      </c>
      <c r="E41">
        <v>61.240001999999997</v>
      </c>
      <c r="F41">
        <v>75.290001000000004</v>
      </c>
      <c r="G41">
        <v>75.290001000000004</v>
      </c>
      <c r="H41" s="53">
        <f t="shared" si="0"/>
        <v>-3.9423272751592464E-2</v>
      </c>
    </row>
    <row r="42" spans="2:8">
      <c r="B42" s="4">
        <v>44621</v>
      </c>
      <c r="C42">
        <v>75.169998000000007</v>
      </c>
      <c r="D42">
        <v>85.790001000000004</v>
      </c>
      <c r="E42">
        <v>63.009998000000003</v>
      </c>
      <c r="F42">
        <v>83.739998</v>
      </c>
      <c r="G42">
        <v>83.739998</v>
      </c>
      <c r="H42" s="53">
        <f t="shared" si="0"/>
        <v>0.11223265888919294</v>
      </c>
    </row>
    <row r="43" spans="2:8">
      <c r="B43" s="4">
        <v>44652</v>
      </c>
      <c r="C43">
        <v>84.099997999999999</v>
      </c>
      <c r="D43">
        <v>86.309997999999993</v>
      </c>
      <c r="E43">
        <v>69.559997999999993</v>
      </c>
      <c r="F43">
        <v>73.029999000000004</v>
      </c>
      <c r="G43">
        <v>73.029999000000004</v>
      </c>
      <c r="H43" s="53">
        <f t="shared" si="0"/>
        <v>-0.12789585927623257</v>
      </c>
    </row>
    <row r="44" spans="2:8">
      <c r="B44" s="4">
        <v>44682</v>
      </c>
      <c r="C44">
        <v>72.769997000000004</v>
      </c>
      <c r="D44">
        <v>78.959998999999996</v>
      </c>
      <c r="E44">
        <v>59.599997999999999</v>
      </c>
      <c r="F44">
        <v>70.610000999999997</v>
      </c>
      <c r="G44">
        <v>70.610000999999997</v>
      </c>
      <c r="H44" s="53">
        <f t="shared" si="0"/>
        <v>-3.3137040026523984E-2</v>
      </c>
    </row>
    <row r="45" spans="2:8">
      <c r="B45" s="4">
        <v>44713</v>
      </c>
      <c r="C45">
        <v>70.610000999999997</v>
      </c>
      <c r="D45">
        <v>76.720000999999996</v>
      </c>
      <c r="E45">
        <v>60.77</v>
      </c>
      <c r="F45">
        <v>68.129997000000003</v>
      </c>
      <c r="G45">
        <v>68.129997000000003</v>
      </c>
      <c r="H45" s="53">
        <f t="shared" si="0"/>
        <v>-3.5122560046416E-2</v>
      </c>
    </row>
    <row r="46" spans="2:8">
      <c r="B46" s="4">
        <v>44743</v>
      </c>
      <c r="C46">
        <v>67.580001999999993</v>
      </c>
      <c r="D46">
        <v>102.120003</v>
      </c>
      <c r="E46">
        <v>60.959999000000003</v>
      </c>
      <c r="F46">
        <v>99.169998000000007</v>
      </c>
      <c r="G46">
        <v>99.169998000000007</v>
      </c>
      <c r="H46" s="53">
        <f t="shared" si="0"/>
        <v>0.45559962376044144</v>
      </c>
    </row>
    <row r="47" spans="2:8">
      <c r="B47" s="4">
        <v>44774</v>
      </c>
      <c r="C47">
        <v>98.970000999999996</v>
      </c>
      <c r="D47">
        <v>130.25</v>
      </c>
      <c r="E47">
        <v>95.769997000000004</v>
      </c>
      <c r="F47">
        <v>127.550003</v>
      </c>
      <c r="G47">
        <v>127.550003</v>
      </c>
      <c r="H47" s="53">
        <f t="shared" si="0"/>
        <v>0.28617531080317249</v>
      </c>
    </row>
    <row r="48" spans="2:8">
      <c r="B48" s="4">
        <v>44805</v>
      </c>
      <c r="C48">
        <v>124.529999</v>
      </c>
      <c r="D48">
        <v>140.63999899999999</v>
      </c>
      <c r="E48">
        <v>123.730003</v>
      </c>
      <c r="F48">
        <v>132.270004</v>
      </c>
      <c r="G48">
        <v>132.270004</v>
      </c>
      <c r="H48" s="53">
        <f t="shared" si="0"/>
        <v>3.700510301046403E-2</v>
      </c>
    </row>
    <row r="49" spans="2:8">
      <c r="B49" s="4">
        <v>44835</v>
      </c>
      <c r="C49">
        <v>132.699997</v>
      </c>
      <c r="D49">
        <v>148.199997</v>
      </c>
      <c r="E49">
        <v>115.660004</v>
      </c>
      <c r="F49">
        <v>145.570007</v>
      </c>
      <c r="G49">
        <v>145.570007</v>
      </c>
      <c r="H49" s="53">
        <f t="shared" si="0"/>
        <v>0.10055192105384682</v>
      </c>
    </row>
    <row r="50" spans="2:8">
      <c r="B50" s="4">
        <v>44866</v>
      </c>
      <c r="C50">
        <v>148</v>
      </c>
      <c r="D50">
        <v>173.679993</v>
      </c>
      <c r="E50">
        <v>143.38000500000001</v>
      </c>
      <c r="F50">
        <v>172.529999</v>
      </c>
      <c r="G50">
        <v>172.529999</v>
      </c>
      <c r="H50" s="53">
        <f t="shared" si="0"/>
        <v>0.18520293126042098</v>
      </c>
    </row>
    <row r="51" spans="2:8">
      <c r="B51" s="4">
        <v>44896</v>
      </c>
      <c r="C51">
        <v>172.55999800000001</v>
      </c>
      <c r="D51">
        <v>173.63000500000001</v>
      </c>
      <c r="E51">
        <v>142.35000600000001</v>
      </c>
      <c r="F51">
        <v>149.78999300000001</v>
      </c>
      <c r="G51">
        <v>149.78999300000001</v>
      </c>
      <c r="H51" s="53">
        <f t="shared" si="0"/>
        <v>-0.13180320020751865</v>
      </c>
    </row>
    <row r="52" spans="2:8">
      <c r="B52" s="4">
        <v>44927</v>
      </c>
      <c r="C52">
        <v>151.009995</v>
      </c>
      <c r="D52">
        <v>185.279999</v>
      </c>
      <c r="E52">
        <v>141.80999800000001</v>
      </c>
      <c r="F52">
        <v>177.60000600000001</v>
      </c>
      <c r="G52">
        <v>177.60000600000001</v>
      </c>
      <c r="H52" s="53">
        <f t="shared" si="0"/>
        <v>0.18566001935790194</v>
      </c>
    </row>
    <row r="53" spans="2:8">
      <c r="B53" s="4">
        <v>44958</v>
      </c>
      <c r="C53">
        <v>177.39999399999999</v>
      </c>
      <c r="D53">
        <v>182.35000600000001</v>
      </c>
      <c r="E53">
        <v>157</v>
      </c>
      <c r="F53">
        <v>169.13999899999999</v>
      </c>
      <c r="G53">
        <v>169.13999899999999</v>
      </c>
      <c r="H53" s="53">
        <f t="shared" si="0"/>
        <v>-4.7635172940253268E-2</v>
      </c>
    </row>
    <row r="54" spans="2:8">
      <c r="B54" s="4">
        <v>44986</v>
      </c>
      <c r="C54">
        <v>180.550003</v>
      </c>
      <c r="D54">
        <v>219.550003</v>
      </c>
      <c r="E54">
        <v>177.28999300000001</v>
      </c>
      <c r="F54">
        <v>217.5</v>
      </c>
      <c r="G54">
        <v>217.5</v>
      </c>
      <c r="H54" s="53">
        <f t="shared" si="0"/>
        <v>0.28591699944375676</v>
      </c>
    </row>
    <row r="55" spans="2:8">
      <c r="B55" s="4">
        <v>45017</v>
      </c>
      <c r="C55">
        <v>217.279999</v>
      </c>
      <c r="D55">
        <v>221.88000500000001</v>
      </c>
      <c r="E55">
        <v>170.550003</v>
      </c>
      <c r="F55">
        <v>182.58000200000001</v>
      </c>
      <c r="G55">
        <v>182.58000200000001</v>
      </c>
      <c r="H55" s="53">
        <f t="shared" si="0"/>
        <v>-0.16055171494252871</v>
      </c>
    </row>
    <row r="56" spans="2:8">
      <c r="B56" s="4">
        <v>45047</v>
      </c>
      <c r="C56">
        <v>182.58000200000001</v>
      </c>
      <c r="D56">
        <v>232</v>
      </c>
      <c r="E56">
        <v>170.91999799999999</v>
      </c>
      <c r="F56">
        <v>202.96000699999999</v>
      </c>
      <c r="G56">
        <v>202.96000699999999</v>
      </c>
      <c r="H56" s="53">
        <f t="shared" si="0"/>
        <v>0.11162232871483911</v>
      </c>
    </row>
    <row r="57" spans="2:8">
      <c r="B57" s="4">
        <v>45078</v>
      </c>
      <c r="C57">
        <v>204.61999499999999</v>
      </c>
      <c r="D57">
        <v>212.35000600000001</v>
      </c>
      <c r="E57">
        <v>176.96000699999999</v>
      </c>
      <c r="F57">
        <v>190.08999600000001</v>
      </c>
      <c r="G57">
        <v>190.08999600000001</v>
      </c>
      <c r="H57" s="53">
        <f t="shared" si="0"/>
        <v>-6.3411561667910163E-2</v>
      </c>
    </row>
    <row r="58" spans="2:8">
      <c r="B58" s="4">
        <v>45108</v>
      </c>
      <c r="C58">
        <v>191.11000100000001</v>
      </c>
      <c r="D58">
        <v>224.5</v>
      </c>
      <c r="E58">
        <v>181.63999899999999</v>
      </c>
      <c r="F58">
        <v>207.39999399999999</v>
      </c>
      <c r="G58">
        <v>207.39999399999999</v>
      </c>
      <c r="H58" s="53">
        <f t="shared" si="0"/>
        <v>9.10621198603212E-2</v>
      </c>
    </row>
    <row r="59" spans="2:8">
      <c r="B59" s="4">
        <v>45139</v>
      </c>
      <c r="C59">
        <v>207.38000500000001</v>
      </c>
      <c r="D59">
        <v>213.429993</v>
      </c>
      <c r="E59">
        <v>173.740005</v>
      </c>
      <c r="F59">
        <v>189.11999499999999</v>
      </c>
      <c r="G59">
        <v>189.11999499999999</v>
      </c>
      <c r="H59" s="53">
        <f t="shared" si="0"/>
        <v>-8.813885983043955E-2</v>
      </c>
    </row>
    <row r="60" spans="2:8">
      <c r="B60" s="4">
        <v>45170</v>
      </c>
      <c r="C60">
        <v>191.270004</v>
      </c>
      <c r="D60">
        <v>193.479996</v>
      </c>
      <c r="E60">
        <v>157.5</v>
      </c>
      <c r="F60">
        <v>161.58999600000001</v>
      </c>
      <c r="G60">
        <v>161.58999600000001</v>
      </c>
      <c r="H60" s="53">
        <f t="shared" si="0"/>
        <v>-0.14556894949156474</v>
      </c>
    </row>
    <row r="61" spans="2:8">
      <c r="B61" s="4">
        <v>45200</v>
      </c>
      <c r="C61">
        <v>160.5</v>
      </c>
      <c r="D61">
        <v>161.990005</v>
      </c>
      <c r="E61">
        <v>132.19000199999999</v>
      </c>
      <c r="F61">
        <v>142.449997</v>
      </c>
      <c r="G61">
        <v>142.449997</v>
      </c>
      <c r="H61" s="53">
        <f t="shared" si="0"/>
        <v>-0.11844792050121726</v>
      </c>
    </row>
    <row r="62" spans="2:8">
      <c r="B62" s="4">
        <v>45231</v>
      </c>
      <c r="C62">
        <v>148.490005</v>
      </c>
      <c r="D62">
        <v>162.479996</v>
      </c>
      <c r="E62">
        <v>129.220001</v>
      </c>
      <c r="F62">
        <v>157.779999</v>
      </c>
      <c r="G62">
        <v>157.779999</v>
      </c>
      <c r="H62" s="53">
        <f t="shared" si="0"/>
        <v>0.10761672392313218</v>
      </c>
    </row>
    <row r="63" spans="2:8">
      <c r="B63" s="4">
        <v>45261</v>
      </c>
      <c r="C63">
        <v>157.53999300000001</v>
      </c>
      <c r="D63">
        <v>177.509995</v>
      </c>
      <c r="E63">
        <v>137.16999799999999</v>
      </c>
      <c r="F63">
        <v>172.279999</v>
      </c>
      <c r="G63">
        <v>172.279999</v>
      </c>
      <c r="H63" s="53">
        <f t="shared" si="0"/>
        <v>9.1900114665357552E-2</v>
      </c>
    </row>
    <row r="64" spans="2:8">
      <c r="B64" s="3"/>
    </row>
    <row r="65" spans="6:7">
      <c r="F65" t="s">
        <v>139</v>
      </c>
      <c r="G65">
        <f>G63/G51-1</f>
        <v>0.15014358135392936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68C3-ABC0-4F46-AC74-B638AB6C967D}">
  <dimension ref="C2:H65"/>
  <sheetViews>
    <sheetView topLeftCell="A39" workbookViewId="0">
      <selection activeCell="K65" sqref="K65"/>
    </sheetView>
  </sheetViews>
  <sheetFormatPr defaultRowHeight="14.4"/>
  <cols>
    <col min="3" max="3" width="24.6640625" style="2" customWidth="1"/>
    <col min="6" max="6" width="13.109375" customWidth="1"/>
    <col min="7" max="7" width="13.77734375" customWidth="1"/>
    <col min="8" max="8" width="13.88671875" customWidth="1"/>
  </cols>
  <sheetData>
    <row r="2" spans="3:8">
      <c r="C2" s="2" t="s">
        <v>5</v>
      </c>
      <c r="D2" t="s">
        <v>0</v>
      </c>
      <c r="E2" t="s">
        <v>1</v>
      </c>
      <c r="F2" t="s">
        <v>2</v>
      </c>
      <c r="G2" t="s">
        <v>3</v>
      </c>
    </row>
    <row r="3" spans="3:8">
      <c r="C3" s="4">
        <v>43435</v>
      </c>
      <c r="D3">
        <v>61.93</v>
      </c>
      <c r="E3">
        <v>62.119999</v>
      </c>
      <c r="F3">
        <v>55.040000999999997</v>
      </c>
      <c r="G3" s="11">
        <v>58.27</v>
      </c>
      <c r="H3" s="54" t="s">
        <v>140</v>
      </c>
    </row>
    <row r="4" spans="3:8">
      <c r="C4" s="4">
        <v>43466</v>
      </c>
      <c r="D4">
        <v>58.27</v>
      </c>
      <c r="E4">
        <v>62.34</v>
      </c>
      <c r="F4">
        <v>57.720001000000003</v>
      </c>
      <c r="G4" s="11">
        <v>61.73</v>
      </c>
      <c r="H4" s="53">
        <f>(G4-G3)/G3</f>
        <v>5.9378754075853676E-2</v>
      </c>
    </row>
    <row r="5" spans="3:8">
      <c r="C5" s="4">
        <v>43497</v>
      </c>
      <c r="D5">
        <v>62.259998000000003</v>
      </c>
      <c r="E5">
        <v>63.976500999999999</v>
      </c>
      <c r="F5">
        <v>61.970001000000003</v>
      </c>
      <c r="G5" s="11">
        <v>62.209999000000003</v>
      </c>
      <c r="H5" s="53">
        <f t="shared" ref="H5:H63" si="0">(G5-G4)/G4</f>
        <v>7.7757816296777343E-3</v>
      </c>
    </row>
    <row r="6" spans="3:8">
      <c r="C6" s="4">
        <v>43525</v>
      </c>
      <c r="D6">
        <v>62.23</v>
      </c>
      <c r="E6">
        <v>64.735000999999997</v>
      </c>
      <c r="F6">
        <v>60.299999</v>
      </c>
      <c r="G6" s="11">
        <v>62.59</v>
      </c>
      <c r="H6" s="53">
        <f t="shared" si="0"/>
        <v>6.1083588829506331E-3</v>
      </c>
    </row>
    <row r="7" spans="3:8">
      <c r="C7" s="4">
        <v>43556</v>
      </c>
      <c r="D7">
        <v>63.419998</v>
      </c>
      <c r="E7">
        <v>65.410004000000001</v>
      </c>
      <c r="F7">
        <v>62.59</v>
      </c>
      <c r="G7" s="11">
        <v>63.529998999999997</v>
      </c>
      <c r="H7" s="53">
        <f t="shared" si="0"/>
        <v>1.5018357565106137E-2</v>
      </c>
    </row>
    <row r="8" spans="3:8">
      <c r="C8" s="4">
        <v>43586</v>
      </c>
      <c r="D8">
        <v>63.5</v>
      </c>
      <c r="E8">
        <v>64.919998000000007</v>
      </c>
      <c r="F8">
        <v>61.669998</v>
      </c>
      <c r="G8" s="11">
        <v>61.810001</v>
      </c>
      <c r="H8" s="53">
        <f t="shared" si="0"/>
        <v>-2.7073792335491724E-2</v>
      </c>
    </row>
    <row r="9" spans="3:8">
      <c r="C9" s="4">
        <v>43617</v>
      </c>
      <c r="D9">
        <v>62.369999</v>
      </c>
      <c r="E9">
        <v>66.480002999999996</v>
      </c>
      <c r="F9">
        <v>61.810001</v>
      </c>
      <c r="G9" s="11">
        <v>65.069999999999993</v>
      </c>
      <c r="H9" s="53">
        <f t="shared" si="0"/>
        <v>5.274225768092114E-2</v>
      </c>
    </row>
    <row r="10" spans="3:8">
      <c r="C10" s="4">
        <v>43647</v>
      </c>
      <c r="D10">
        <v>66.360000999999997</v>
      </c>
      <c r="E10">
        <v>66.360000999999997</v>
      </c>
      <c r="F10">
        <v>62.439999</v>
      </c>
      <c r="G10" s="11">
        <v>62.889999000000003</v>
      </c>
      <c r="H10" s="53">
        <f t="shared" si="0"/>
        <v>-3.3502397418164902E-2</v>
      </c>
    </row>
    <row r="11" spans="3:8">
      <c r="C11" s="4">
        <v>43678</v>
      </c>
      <c r="D11">
        <v>59.560001</v>
      </c>
      <c r="E11">
        <v>60</v>
      </c>
      <c r="F11">
        <v>54.779998999999997</v>
      </c>
      <c r="G11" s="11">
        <v>55.599997999999999</v>
      </c>
      <c r="H11" s="53">
        <f t="shared" si="0"/>
        <v>-0.11591669766126095</v>
      </c>
    </row>
    <row r="12" spans="3:8">
      <c r="C12" s="4">
        <v>43709</v>
      </c>
      <c r="D12">
        <v>55.599997999999999</v>
      </c>
      <c r="E12">
        <v>59.32</v>
      </c>
      <c r="F12">
        <v>54.560001</v>
      </c>
      <c r="G12" s="11">
        <v>58.849997999999999</v>
      </c>
      <c r="H12" s="53">
        <f t="shared" si="0"/>
        <v>5.8453239512706458E-2</v>
      </c>
    </row>
    <row r="13" spans="3:8">
      <c r="C13" s="4">
        <v>43739</v>
      </c>
      <c r="D13">
        <v>58.669998</v>
      </c>
      <c r="E13">
        <v>60.195</v>
      </c>
      <c r="F13">
        <v>56.130001</v>
      </c>
      <c r="G13" s="11">
        <v>57.970001000000003</v>
      </c>
      <c r="H13" s="53">
        <f t="shared" si="0"/>
        <v>-1.4953220559157808E-2</v>
      </c>
    </row>
    <row r="14" spans="3:8">
      <c r="C14" s="4">
        <v>43770</v>
      </c>
      <c r="D14">
        <v>58.220001000000003</v>
      </c>
      <c r="E14">
        <v>60.509998000000003</v>
      </c>
      <c r="F14">
        <v>57.279998999999997</v>
      </c>
      <c r="G14" s="11">
        <v>57.490001999999997</v>
      </c>
      <c r="H14" s="53">
        <f t="shared" si="0"/>
        <v>-8.2801275093993265E-3</v>
      </c>
    </row>
    <row r="15" spans="3:8">
      <c r="C15" s="4">
        <v>43800</v>
      </c>
      <c r="D15">
        <v>57.630001</v>
      </c>
      <c r="E15">
        <v>59.525002000000001</v>
      </c>
      <c r="F15">
        <v>56.029998999999997</v>
      </c>
      <c r="G15" s="11">
        <v>58.98</v>
      </c>
      <c r="H15" s="53">
        <f t="shared" si="0"/>
        <v>2.5917515188119144E-2</v>
      </c>
    </row>
    <row r="16" spans="3:8">
      <c r="C16" s="4">
        <v>43831</v>
      </c>
      <c r="D16">
        <v>58.98</v>
      </c>
      <c r="E16">
        <v>61.169998</v>
      </c>
      <c r="F16">
        <v>51.830002</v>
      </c>
      <c r="G16" s="11">
        <v>52.150002000000001</v>
      </c>
      <c r="H16" s="53">
        <f t="shared" si="0"/>
        <v>-0.11580193285859608</v>
      </c>
    </row>
    <row r="17" spans="3:8">
      <c r="C17" s="4">
        <v>43862</v>
      </c>
      <c r="D17">
        <v>51.380001</v>
      </c>
      <c r="E17">
        <v>53.09</v>
      </c>
      <c r="F17">
        <v>42.110000999999997</v>
      </c>
      <c r="G17" s="11">
        <v>44.029998999999997</v>
      </c>
      <c r="H17" s="53">
        <f t="shared" si="0"/>
        <v>-0.15570474954152455</v>
      </c>
    </row>
    <row r="18" spans="3:8">
      <c r="C18" s="4">
        <v>43891</v>
      </c>
      <c r="D18">
        <v>44.060001</v>
      </c>
      <c r="E18">
        <v>46.02</v>
      </c>
      <c r="F18">
        <v>21.254999000000002</v>
      </c>
      <c r="G18" s="11">
        <v>34.889999000000003</v>
      </c>
      <c r="H18" s="53">
        <f t="shared" si="0"/>
        <v>-0.20758574171214481</v>
      </c>
    </row>
    <row r="19" spans="3:8">
      <c r="C19" s="4">
        <v>43922</v>
      </c>
      <c r="D19">
        <v>36.580002</v>
      </c>
      <c r="E19">
        <v>40.349997999999999</v>
      </c>
      <c r="F19">
        <v>31.959999</v>
      </c>
      <c r="G19" s="11">
        <v>33.130001</v>
      </c>
      <c r="H19" s="53">
        <f t="shared" si="0"/>
        <v>-5.0444197490518781E-2</v>
      </c>
    </row>
    <row r="20" spans="3:8">
      <c r="C20" s="4">
        <v>43952</v>
      </c>
      <c r="D20">
        <v>31.85</v>
      </c>
      <c r="E20">
        <v>34.82</v>
      </c>
      <c r="F20">
        <v>28.98</v>
      </c>
      <c r="G20" s="11">
        <v>31.950001</v>
      </c>
      <c r="H20" s="53">
        <f t="shared" si="0"/>
        <v>-3.56172642433666E-2</v>
      </c>
    </row>
    <row r="21" spans="3:8">
      <c r="C21" s="4">
        <v>43983</v>
      </c>
      <c r="D21">
        <v>32.150002000000001</v>
      </c>
      <c r="E21">
        <v>39.330002</v>
      </c>
      <c r="F21">
        <v>31.864999999999998</v>
      </c>
      <c r="G21" s="11">
        <v>32.689999</v>
      </c>
      <c r="H21" s="53">
        <f t="shared" si="0"/>
        <v>2.3161126035645505E-2</v>
      </c>
    </row>
    <row r="22" spans="3:8">
      <c r="C22" s="4">
        <v>44013</v>
      </c>
      <c r="D22">
        <v>32.82</v>
      </c>
      <c r="E22">
        <v>34.130001</v>
      </c>
      <c r="F22">
        <v>29.549999</v>
      </c>
      <c r="G22" s="11">
        <v>29.809999000000001</v>
      </c>
      <c r="H22" s="53">
        <f t="shared" si="0"/>
        <v>-8.8100339189364885E-2</v>
      </c>
    </row>
    <row r="23" spans="3:8">
      <c r="C23" s="4">
        <v>44044</v>
      </c>
      <c r="D23">
        <v>29.959999</v>
      </c>
      <c r="E23">
        <v>33.189999</v>
      </c>
      <c r="F23">
        <v>29.450001</v>
      </c>
      <c r="G23" s="11">
        <v>29.68</v>
      </c>
      <c r="H23" s="53">
        <f t="shared" si="0"/>
        <v>-4.3609193009366259E-3</v>
      </c>
    </row>
    <row r="24" spans="3:8">
      <c r="C24" s="4">
        <v>44075</v>
      </c>
      <c r="D24">
        <v>29.200001</v>
      </c>
      <c r="E24">
        <v>29.610001</v>
      </c>
      <c r="F24">
        <v>25.07</v>
      </c>
      <c r="G24" s="11">
        <v>25.17</v>
      </c>
      <c r="H24" s="53">
        <f t="shared" si="0"/>
        <v>-0.15195417789757407</v>
      </c>
    </row>
    <row r="25" spans="3:8">
      <c r="C25" s="4">
        <v>44105</v>
      </c>
      <c r="D25">
        <v>24.629999000000002</v>
      </c>
      <c r="E25">
        <v>27.195</v>
      </c>
      <c r="F25">
        <v>23.07</v>
      </c>
      <c r="G25" s="11">
        <v>25.549999</v>
      </c>
      <c r="H25" s="53">
        <f t="shared" si="0"/>
        <v>1.5097298371076597E-2</v>
      </c>
    </row>
    <row r="26" spans="3:8">
      <c r="C26" s="4">
        <v>44136</v>
      </c>
      <c r="D26">
        <v>26.33</v>
      </c>
      <c r="E26">
        <v>37.224997999999999</v>
      </c>
      <c r="F26">
        <v>25.9</v>
      </c>
      <c r="G26" s="11">
        <v>33.840000000000003</v>
      </c>
      <c r="H26" s="53">
        <f t="shared" si="0"/>
        <v>0.32446189136837161</v>
      </c>
    </row>
    <row r="27" spans="3:8">
      <c r="C27" s="4">
        <v>44166</v>
      </c>
      <c r="D27">
        <v>35.229999999999997</v>
      </c>
      <c r="E27">
        <v>38.869999</v>
      </c>
      <c r="F27">
        <v>34.709999000000003</v>
      </c>
      <c r="G27" s="11">
        <v>35.139999000000003</v>
      </c>
      <c r="H27" s="53">
        <f t="shared" si="0"/>
        <v>3.8416046099290765E-2</v>
      </c>
    </row>
    <row r="28" spans="3:8">
      <c r="C28" s="4">
        <v>44197</v>
      </c>
      <c r="D28">
        <v>35.139999000000003</v>
      </c>
      <c r="E28">
        <v>41.849997999999999</v>
      </c>
      <c r="F28">
        <v>35.139999000000003</v>
      </c>
      <c r="G28" s="11">
        <v>36.889999000000003</v>
      </c>
      <c r="H28" s="53">
        <f t="shared" si="0"/>
        <v>4.9800798229960107E-2</v>
      </c>
    </row>
    <row r="29" spans="3:8">
      <c r="C29" s="4">
        <v>44228</v>
      </c>
      <c r="D29">
        <v>36.889999000000003</v>
      </c>
      <c r="E29">
        <v>43.189999</v>
      </c>
      <c r="F29">
        <v>35.729999999999997</v>
      </c>
      <c r="G29" s="11">
        <v>41.029998999999997</v>
      </c>
      <c r="H29" s="53">
        <f t="shared" si="0"/>
        <v>0.11222553841760725</v>
      </c>
    </row>
    <row r="30" spans="3:8">
      <c r="C30" s="4">
        <v>44256</v>
      </c>
      <c r="D30">
        <v>41.080002</v>
      </c>
      <c r="E30">
        <v>44.5</v>
      </c>
      <c r="F30">
        <v>38.790000999999997</v>
      </c>
      <c r="G30" s="11">
        <v>39.209999000000003</v>
      </c>
      <c r="H30" s="53">
        <f t="shared" si="0"/>
        <v>-4.4357788066238885E-2</v>
      </c>
    </row>
    <row r="31" spans="3:8">
      <c r="C31" s="4">
        <v>44287</v>
      </c>
      <c r="D31">
        <v>39.650002000000001</v>
      </c>
      <c r="E31">
        <v>40.580002</v>
      </c>
      <c r="F31">
        <v>37.730998999999997</v>
      </c>
      <c r="G31" s="11">
        <v>38</v>
      </c>
      <c r="H31" s="53">
        <f t="shared" si="0"/>
        <v>-3.0859449907152593E-2</v>
      </c>
    </row>
    <row r="32" spans="3:8">
      <c r="C32" s="4">
        <v>44317</v>
      </c>
      <c r="D32">
        <v>38.040000999999997</v>
      </c>
      <c r="E32">
        <v>41.450001</v>
      </c>
      <c r="F32">
        <v>37.985000999999997</v>
      </c>
      <c r="G32" s="11">
        <v>38.610000999999997</v>
      </c>
      <c r="H32" s="53">
        <f t="shared" si="0"/>
        <v>1.6052657894736762E-2</v>
      </c>
    </row>
    <row r="33" spans="3:8">
      <c r="C33" s="4">
        <v>44348</v>
      </c>
      <c r="D33">
        <v>39.330002</v>
      </c>
      <c r="E33">
        <v>42.380001</v>
      </c>
      <c r="F33">
        <v>38.880001</v>
      </c>
      <c r="G33" s="11">
        <v>40.400002000000001</v>
      </c>
      <c r="H33" s="53">
        <f t="shared" si="0"/>
        <v>4.636107106031942E-2</v>
      </c>
    </row>
    <row r="34" spans="3:8">
      <c r="C34" s="4">
        <v>44378</v>
      </c>
      <c r="D34">
        <v>41.34</v>
      </c>
      <c r="E34">
        <v>41.669998</v>
      </c>
      <c r="F34">
        <v>36.32</v>
      </c>
      <c r="G34" s="11">
        <v>40.619999</v>
      </c>
      <c r="H34" s="53">
        <f t="shared" si="0"/>
        <v>5.4454700274519626E-3</v>
      </c>
    </row>
    <row r="35" spans="3:8">
      <c r="C35" s="4">
        <v>44409</v>
      </c>
      <c r="D35">
        <v>41.040000999999997</v>
      </c>
      <c r="E35">
        <v>41.880001</v>
      </c>
      <c r="F35">
        <v>37.965000000000003</v>
      </c>
      <c r="G35" s="11">
        <v>39.759998000000003</v>
      </c>
      <c r="H35" s="53">
        <f t="shared" si="0"/>
        <v>-2.1171861673359393E-2</v>
      </c>
    </row>
    <row r="36" spans="3:8">
      <c r="C36" s="4">
        <v>44440</v>
      </c>
      <c r="D36">
        <v>39.970001000000003</v>
      </c>
      <c r="E36">
        <v>45.41</v>
      </c>
      <c r="F36">
        <v>39.009998000000003</v>
      </c>
      <c r="G36" s="11">
        <v>44.57</v>
      </c>
      <c r="H36" s="53">
        <f t="shared" si="0"/>
        <v>0.12097591151790292</v>
      </c>
    </row>
    <row r="37" spans="3:8">
      <c r="C37" s="4">
        <v>44470</v>
      </c>
      <c r="D37">
        <v>45.07</v>
      </c>
      <c r="E37">
        <v>50.75</v>
      </c>
      <c r="F37">
        <v>44.75</v>
      </c>
      <c r="G37" s="11">
        <v>45.919998</v>
      </c>
      <c r="H37" s="53">
        <f t="shared" si="0"/>
        <v>3.0289387480367948E-2</v>
      </c>
    </row>
    <row r="38" spans="3:8">
      <c r="C38" s="4">
        <v>44501</v>
      </c>
      <c r="D38">
        <v>46.369999</v>
      </c>
      <c r="E38">
        <v>46.5</v>
      </c>
      <c r="F38">
        <v>41.459999000000003</v>
      </c>
      <c r="G38" s="11">
        <v>42.040000999999997</v>
      </c>
      <c r="H38" s="53">
        <f t="shared" si="0"/>
        <v>-8.4494711868236649E-2</v>
      </c>
    </row>
    <row r="39" spans="3:8">
      <c r="C39" s="4">
        <v>44531</v>
      </c>
      <c r="D39">
        <v>43.02</v>
      </c>
      <c r="E39">
        <v>45.119999</v>
      </c>
      <c r="F39">
        <v>41.23</v>
      </c>
      <c r="G39" s="11">
        <v>43.400002000000001</v>
      </c>
      <c r="H39" s="53">
        <f t="shared" si="0"/>
        <v>3.2350165738578456E-2</v>
      </c>
    </row>
    <row r="40" spans="3:8">
      <c r="C40" s="4">
        <v>44562</v>
      </c>
      <c r="D40">
        <v>44.040000999999997</v>
      </c>
      <c r="E40">
        <v>52.09</v>
      </c>
      <c r="F40">
        <v>43.959999000000003</v>
      </c>
      <c r="G40" s="11">
        <v>51.400002000000001</v>
      </c>
      <c r="H40" s="53">
        <f t="shared" si="0"/>
        <v>0.18433178874047057</v>
      </c>
    </row>
    <row r="41" spans="3:8">
      <c r="C41" s="4">
        <v>44593</v>
      </c>
      <c r="D41">
        <v>51.59</v>
      </c>
      <c r="E41">
        <v>56.130001</v>
      </c>
      <c r="F41">
        <v>50.68</v>
      </c>
      <c r="G41" s="11">
        <v>52.389999000000003</v>
      </c>
      <c r="H41" s="53">
        <f t="shared" si="0"/>
        <v>1.9260641273905057E-2</v>
      </c>
    </row>
    <row r="42" spans="3:8">
      <c r="C42" s="4">
        <v>44621</v>
      </c>
      <c r="D42">
        <v>52.200001</v>
      </c>
      <c r="E42">
        <v>55.93</v>
      </c>
      <c r="F42">
        <v>48.27</v>
      </c>
      <c r="G42" s="11">
        <v>54.93</v>
      </c>
      <c r="H42" s="53">
        <f t="shared" si="0"/>
        <v>4.8482554847920432E-2</v>
      </c>
    </row>
    <row r="43" spans="3:8">
      <c r="C43" s="4">
        <v>44652</v>
      </c>
      <c r="D43">
        <v>54.950001</v>
      </c>
      <c r="E43">
        <v>58.68</v>
      </c>
      <c r="F43">
        <v>52.240001999999997</v>
      </c>
      <c r="G43" s="11">
        <v>53.43</v>
      </c>
      <c r="H43" s="53">
        <f t="shared" si="0"/>
        <v>-2.7307482250136537E-2</v>
      </c>
    </row>
    <row r="44" spans="3:8">
      <c r="C44" s="4">
        <v>44682</v>
      </c>
      <c r="D44">
        <v>52.779998999999997</v>
      </c>
      <c r="E44">
        <v>60.849997999999999</v>
      </c>
      <c r="F44">
        <v>52.310001</v>
      </c>
      <c r="G44" s="11">
        <v>59.220001000000003</v>
      </c>
      <c r="H44" s="53">
        <f t="shared" si="0"/>
        <v>0.10836610518435343</v>
      </c>
    </row>
    <row r="45" spans="3:8">
      <c r="C45" s="4">
        <v>44713</v>
      </c>
      <c r="D45">
        <v>59.630001</v>
      </c>
      <c r="E45">
        <v>61.674999</v>
      </c>
      <c r="F45">
        <v>48.639999000000003</v>
      </c>
      <c r="G45" s="11">
        <v>52.290000999999997</v>
      </c>
      <c r="H45" s="53">
        <f t="shared" si="0"/>
        <v>-0.11702127461970165</v>
      </c>
    </row>
    <row r="46" spans="3:8">
      <c r="C46" s="4">
        <v>44743</v>
      </c>
      <c r="D46">
        <v>51.57</v>
      </c>
      <c r="E46">
        <v>53.5</v>
      </c>
      <c r="F46">
        <v>44.900002000000001</v>
      </c>
      <c r="G46" s="11">
        <v>53.380001</v>
      </c>
      <c r="H46" s="53">
        <f t="shared" si="0"/>
        <v>2.0845285506879287E-2</v>
      </c>
    </row>
    <row r="47" spans="3:8">
      <c r="C47" s="4">
        <v>44774</v>
      </c>
      <c r="D47">
        <v>52.799999</v>
      </c>
      <c r="E47">
        <v>56.18</v>
      </c>
      <c r="F47">
        <v>50.810001</v>
      </c>
      <c r="G47" s="11">
        <v>52.98</v>
      </c>
      <c r="H47" s="53">
        <f t="shared" si="0"/>
        <v>-7.493461830396053E-3</v>
      </c>
    </row>
    <row r="48" spans="3:8">
      <c r="C48" s="4">
        <v>44805</v>
      </c>
      <c r="D48">
        <v>52.799999</v>
      </c>
      <c r="E48">
        <v>54.564999</v>
      </c>
      <c r="F48">
        <v>46.741000999999997</v>
      </c>
      <c r="G48" s="11">
        <v>49.759998000000003</v>
      </c>
      <c r="H48" s="53">
        <f t="shared" si="0"/>
        <v>-6.0777689694224125E-2</v>
      </c>
    </row>
    <row r="49" spans="3:8">
      <c r="C49" s="4">
        <v>44835</v>
      </c>
      <c r="D49">
        <v>51.450001</v>
      </c>
      <c r="E49">
        <v>56.730701000000003</v>
      </c>
      <c r="F49">
        <v>49.724201000000001</v>
      </c>
      <c r="G49" s="11">
        <v>55.630001</v>
      </c>
      <c r="H49" s="53">
        <f t="shared" si="0"/>
        <v>0.11796630297292207</v>
      </c>
    </row>
    <row r="50" spans="3:8">
      <c r="C50" s="4">
        <v>44866</v>
      </c>
      <c r="D50">
        <v>56.919998</v>
      </c>
      <c r="E50">
        <v>58.740001999999997</v>
      </c>
      <c r="F50">
        <v>53.034999999999997</v>
      </c>
      <c r="G50" s="11">
        <v>58.470001000000003</v>
      </c>
      <c r="H50" s="53">
        <f t="shared" si="0"/>
        <v>5.1051589950537719E-2</v>
      </c>
    </row>
    <row r="51" spans="3:8">
      <c r="C51" s="4">
        <v>44896</v>
      </c>
      <c r="D51">
        <v>58.689999</v>
      </c>
      <c r="E51">
        <v>58.970001000000003</v>
      </c>
      <c r="F51">
        <v>54.400002000000001</v>
      </c>
      <c r="G51" s="11">
        <v>56.950001</v>
      </c>
      <c r="H51" s="53">
        <f t="shared" si="0"/>
        <v>-2.599623694208596E-2</v>
      </c>
    </row>
    <row r="52" spans="3:8">
      <c r="C52" s="4">
        <v>44927</v>
      </c>
      <c r="D52">
        <v>56.950001</v>
      </c>
      <c r="E52">
        <v>60.139999000000003</v>
      </c>
      <c r="F52">
        <v>54.970001000000003</v>
      </c>
      <c r="G52" s="11">
        <v>58.810001</v>
      </c>
      <c r="H52" s="53">
        <f t="shared" si="0"/>
        <v>3.2660227696923123E-2</v>
      </c>
    </row>
    <row r="53" spans="3:8">
      <c r="C53" s="4">
        <v>44958</v>
      </c>
      <c r="D53">
        <v>58.68</v>
      </c>
      <c r="E53">
        <v>62.75</v>
      </c>
      <c r="F53">
        <v>56.91</v>
      </c>
      <c r="G53" s="11">
        <v>60.77</v>
      </c>
      <c r="H53" s="53">
        <f t="shared" si="0"/>
        <v>3.3327647792422303E-2</v>
      </c>
    </row>
    <row r="54" spans="3:8">
      <c r="C54" s="4">
        <v>44986</v>
      </c>
      <c r="D54">
        <v>61.5</v>
      </c>
      <c r="E54">
        <v>62.73</v>
      </c>
      <c r="F54">
        <v>52.470001000000003</v>
      </c>
      <c r="G54" s="11">
        <v>57.540000999999997</v>
      </c>
      <c r="H54" s="53">
        <f t="shared" si="0"/>
        <v>-5.315120947836114E-2</v>
      </c>
    </row>
    <row r="55" spans="3:8">
      <c r="C55" s="4">
        <v>45017</v>
      </c>
      <c r="D55">
        <v>60.75</v>
      </c>
      <c r="E55">
        <v>62.310001</v>
      </c>
      <c r="F55">
        <v>59.009998000000003</v>
      </c>
      <c r="G55" s="11">
        <v>61.98</v>
      </c>
      <c r="H55" s="53">
        <f t="shared" si="0"/>
        <v>7.7163693479949724E-2</v>
      </c>
    </row>
    <row r="56" spans="3:8">
      <c r="C56" s="4">
        <v>45047</v>
      </c>
      <c r="D56">
        <v>61.459999000000003</v>
      </c>
      <c r="E56">
        <v>62.029998999999997</v>
      </c>
      <c r="F56">
        <v>55.775002000000001</v>
      </c>
      <c r="G56" s="11">
        <v>56</v>
      </c>
      <c r="H56" s="53">
        <f t="shared" si="0"/>
        <v>-9.6482736366569816E-2</v>
      </c>
    </row>
    <row r="57" spans="3:8">
      <c r="C57" s="4">
        <v>45078</v>
      </c>
      <c r="D57">
        <v>56.18</v>
      </c>
      <c r="E57">
        <v>61.169998</v>
      </c>
      <c r="F57">
        <v>56.029998999999997</v>
      </c>
      <c r="G57" s="11">
        <v>60.380001</v>
      </c>
      <c r="H57" s="53">
        <f t="shared" si="0"/>
        <v>7.821430357142857E-2</v>
      </c>
    </row>
    <row r="58" spans="3:8">
      <c r="C58" s="4">
        <v>45108</v>
      </c>
      <c r="D58">
        <v>61.259998000000003</v>
      </c>
      <c r="E58">
        <v>63.689999</v>
      </c>
      <c r="F58">
        <v>58.139999000000003</v>
      </c>
      <c r="G58" s="11">
        <v>61.630001</v>
      </c>
      <c r="H58" s="53">
        <f t="shared" si="0"/>
        <v>2.0702218935041091E-2</v>
      </c>
    </row>
    <row r="59" spans="3:8">
      <c r="C59" s="4">
        <v>45139</v>
      </c>
      <c r="D59">
        <v>61.220001000000003</v>
      </c>
      <c r="E59">
        <v>63.095001000000003</v>
      </c>
      <c r="F59">
        <v>59.505001</v>
      </c>
      <c r="G59" s="11">
        <v>62.09</v>
      </c>
      <c r="H59" s="53">
        <f t="shared" si="0"/>
        <v>7.4638811055674553E-3</v>
      </c>
    </row>
    <row r="60" spans="3:8">
      <c r="C60" s="4">
        <v>45170</v>
      </c>
      <c r="D60">
        <v>63.009998000000003</v>
      </c>
      <c r="E60">
        <v>65.959998999999996</v>
      </c>
      <c r="F60">
        <v>62.474997999999999</v>
      </c>
      <c r="G60" s="11">
        <v>64.379997000000003</v>
      </c>
      <c r="H60" s="53">
        <f t="shared" si="0"/>
        <v>3.6881897245933312E-2</v>
      </c>
    </row>
    <row r="61" spans="3:8">
      <c r="C61" s="4">
        <v>45200</v>
      </c>
      <c r="D61">
        <v>64.550003000000004</v>
      </c>
      <c r="E61">
        <v>68.720000999999996</v>
      </c>
      <c r="F61">
        <v>61.59</v>
      </c>
      <c r="G61" s="11">
        <v>65.139999000000003</v>
      </c>
      <c r="H61" s="53">
        <f t="shared" si="0"/>
        <v>1.1804939972271201E-2</v>
      </c>
    </row>
    <row r="62" spans="3:8">
      <c r="C62" s="4">
        <v>45231</v>
      </c>
      <c r="D62">
        <v>65.510002</v>
      </c>
      <c r="E62">
        <v>68.739998</v>
      </c>
      <c r="F62">
        <v>64.190002000000007</v>
      </c>
      <c r="G62" s="11">
        <v>65.800003000000004</v>
      </c>
      <c r="H62" s="53">
        <f t="shared" si="0"/>
        <v>1.013208489610202E-2</v>
      </c>
    </row>
    <row r="63" spans="3:8">
      <c r="C63" s="4">
        <v>45261</v>
      </c>
      <c r="D63">
        <v>65.709998999999996</v>
      </c>
      <c r="E63">
        <v>66.360000999999997</v>
      </c>
      <c r="F63">
        <v>63.029998999999997</v>
      </c>
      <c r="G63" s="11">
        <v>65.800003000000004</v>
      </c>
      <c r="H63" s="53">
        <f t="shared" si="0"/>
        <v>0</v>
      </c>
    </row>
    <row r="64" spans="3:8">
      <c r="C64" s="3"/>
    </row>
    <row r="65" spans="3:7">
      <c r="C65" s="3"/>
      <c r="F65" t="s">
        <v>139</v>
      </c>
      <c r="G65">
        <f>G63/G51-1</f>
        <v>0.15539950561194904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5DE2-02D0-4D13-9162-098A0A9AF562}">
  <dimension ref="C2:J65"/>
  <sheetViews>
    <sheetView topLeftCell="A40" workbookViewId="0">
      <selection activeCell="H65" sqref="H65"/>
    </sheetView>
  </sheetViews>
  <sheetFormatPr defaultRowHeight="14.4"/>
  <cols>
    <col min="3" max="3" width="11.5546875" customWidth="1"/>
    <col min="4" max="4" width="12.44140625" customWidth="1"/>
    <col min="7" max="7" width="16.33203125" customWidth="1"/>
    <col min="8" max="8" width="13.44140625" customWidth="1"/>
    <col min="10" max="10" width="16.109375" customWidth="1"/>
  </cols>
  <sheetData>
    <row r="2" spans="3:10">
      <c r="C2" s="38" t="s">
        <v>5</v>
      </c>
      <c r="D2" t="s">
        <v>0</v>
      </c>
      <c r="E2" t="s">
        <v>1</v>
      </c>
      <c r="F2" t="s">
        <v>2</v>
      </c>
      <c r="G2" t="s">
        <v>3</v>
      </c>
      <c r="H2" t="s">
        <v>4</v>
      </c>
    </row>
    <row r="3" spans="3:10">
      <c r="C3" s="39">
        <v>43435</v>
      </c>
      <c r="D3">
        <v>145.570007</v>
      </c>
      <c r="E3">
        <v>148.990005</v>
      </c>
      <c r="F3">
        <v>121</v>
      </c>
      <c r="G3">
        <v>129.050003</v>
      </c>
      <c r="H3">
        <v>110.132469</v>
      </c>
      <c r="J3" s="55" t="s">
        <v>71</v>
      </c>
    </row>
    <row r="4" spans="3:10">
      <c r="C4" s="39">
        <v>43466</v>
      </c>
      <c r="D4">
        <v>128.13000500000001</v>
      </c>
      <c r="E4">
        <v>135.19000199999999</v>
      </c>
      <c r="F4">
        <v>125</v>
      </c>
      <c r="G4">
        <v>133.08000200000001</v>
      </c>
      <c r="H4">
        <v>113.57167800000001</v>
      </c>
      <c r="I4">
        <f>H4/H3-1</f>
        <v>3.122792970345567E-2</v>
      </c>
      <c r="J4" s="56">
        <f>I4*100</f>
        <v>3.122792970345567</v>
      </c>
    </row>
    <row r="5" spans="3:10">
      <c r="C5" s="39">
        <v>43497</v>
      </c>
      <c r="D5">
        <v>134.020004</v>
      </c>
      <c r="E5">
        <v>137.949997</v>
      </c>
      <c r="F5">
        <v>131.259995</v>
      </c>
      <c r="G5">
        <v>136.63999899999999</v>
      </c>
      <c r="H5">
        <v>116.60981</v>
      </c>
      <c r="I5">
        <f t="shared" ref="I5:I63" si="0">H5/H4-1</f>
        <v>2.6750789047952583E-2</v>
      </c>
      <c r="J5" s="56">
        <f t="shared" ref="J5:J63" si="1">I5*100</f>
        <v>2.6750789047952583</v>
      </c>
    </row>
    <row r="6" spans="3:10">
      <c r="C6" s="39">
        <v>43525</v>
      </c>
      <c r="D6">
        <v>137.220001</v>
      </c>
      <c r="E6">
        <v>140</v>
      </c>
      <c r="F6">
        <v>135.740005</v>
      </c>
      <c r="G6">
        <v>139.78999300000001</v>
      </c>
      <c r="H6">
        <v>120.089302</v>
      </c>
      <c r="I6">
        <f t="shared" si="0"/>
        <v>2.9838758848848235E-2</v>
      </c>
      <c r="J6" s="56">
        <f t="shared" si="1"/>
        <v>2.9838758848848235</v>
      </c>
    </row>
    <row r="7" spans="3:10">
      <c r="C7" s="39">
        <v>43556</v>
      </c>
      <c r="D7">
        <v>139.990005</v>
      </c>
      <c r="E7">
        <v>141.449997</v>
      </c>
      <c r="F7">
        <v>134.41999799999999</v>
      </c>
      <c r="G7">
        <v>141.199997</v>
      </c>
      <c r="H7">
        <v>121.300591</v>
      </c>
      <c r="I7">
        <f t="shared" si="0"/>
        <v>1.0086568743650437E-2</v>
      </c>
      <c r="J7" s="56">
        <f t="shared" si="1"/>
        <v>1.0086568743650437</v>
      </c>
    </row>
    <row r="8" spans="3:10">
      <c r="C8" s="39">
        <v>43586</v>
      </c>
      <c r="D8">
        <v>140.949997</v>
      </c>
      <c r="E8">
        <v>142.35000600000001</v>
      </c>
      <c r="F8">
        <v>128.520004</v>
      </c>
      <c r="G8">
        <v>131.14999399999999</v>
      </c>
      <c r="H8">
        <v>112.666916</v>
      </c>
      <c r="I8">
        <f t="shared" si="0"/>
        <v>-7.1175869209079146E-2</v>
      </c>
      <c r="J8" s="56">
        <f t="shared" si="1"/>
        <v>-7.1175869209079146</v>
      </c>
    </row>
    <row r="9" spans="3:10">
      <c r="C9" s="39">
        <v>43617</v>
      </c>
      <c r="D9">
        <v>131.5</v>
      </c>
      <c r="E9">
        <v>144.979996</v>
      </c>
      <c r="F9">
        <v>131.03999300000001</v>
      </c>
      <c r="G9">
        <v>139.279999</v>
      </c>
      <c r="H9">
        <v>120.469849</v>
      </c>
      <c r="I9">
        <f t="shared" si="0"/>
        <v>6.925664850895541E-2</v>
      </c>
      <c r="J9" s="56">
        <f t="shared" si="1"/>
        <v>6.925664850895541</v>
      </c>
    </row>
    <row r="10" spans="3:10">
      <c r="C10" s="39">
        <v>43647</v>
      </c>
      <c r="D10">
        <v>140.199997</v>
      </c>
      <c r="E10">
        <v>142.470001</v>
      </c>
      <c r="F10">
        <v>127.839996</v>
      </c>
      <c r="G10">
        <v>130.220001</v>
      </c>
      <c r="H10">
        <v>112.63343</v>
      </c>
      <c r="I10">
        <f t="shared" si="0"/>
        <v>-6.5048799056766415E-2</v>
      </c>
      <c r="J10" s="56">
        <f t="shared" si="1"/>
        <v>-6.504879905676642</v>
      </c>
    </row>
    <row r="11" spans="3:10">
      <c r="C11" s="39">
        <v>43678</v>
      </c>
      <c r="D11">
        <v>130.259995</v>
      </c>
      <c r="E11">
        <v>134.10000600000001</v>
      </c>
      <c r="F11">
        <v>126.629997</v>
      </c>
      <c r="G11">
        <v>128.36000100000001</v>
      </c>
      <c r="H11">
        <v>111.02462800000001</v>
      </c>
      <c r="I11">
        <f t="shared" si="0"/>
        <v>-1.4283521331100335E-2</v>
      </c>
      <c r="J11" s="56">
        <f t="shared" si="1"/>
        <v>-1.4283521331100335</v>
      </c>
    </row>
    <row r="12" spans="3:10">
      <c r="C12" s="39">
        <v>43709</v>
      </c>
      <c r="D12">
        <v>127.989998</v>
      </c>
      <c r="E12">
        <v>132.779999</v>
      </c>
      <c r="F12">
        <v>126.339996</v>
      </c>
      <c r="G12">
        <v>129.38000500000001</v>
      </c>
      <c r="H12">
        <v>112.74543</v>
      </c>
      <c r="I12">
        <f t="shared" si="0"/>
        <v>1.5499281835017698E-2</v>
      </c>
      <c r="J12" s="56">
        <f t="shared" si="1"/>
        <v>1.5499281835017698</v>
      </c>
    </row>
    <row r="13" spans="3:10">
      <c r="C13" s="39">
        <v>43739</v>
      </c>
      <c r="D13">
        <v>130.020004</v>
      </c>
      <c r="E13">
        <v>137.490005</v>
      </c>
      <c r="F13">
        <v>126.099998</v>
      </c>
      <c r="G13">
        <v>132.03999300000001</v>
      </c>
      <c r="H13">
        <v>115.0634</v>
      </c>
      <c r="I13">
        <f t="shared" si="0"/>
        <v>2.0559325553151098E-2</v>
      </c>
      <c r="J13" s="56">
        <f t="shared" si="1"/>
        <v>2.0559325553151098</v>
      </c>
    </row>
    <row r="14" spans="3:10">
      <c r="C14" s="39">
        <v>43770</v>
      </c>
      <c r="D14">
        <v>132.050003</v>
      </c>
      <c r="E14">
        <v>138.63000500000001</v>
      </c>
      <c r="F14">
        <v>129.679993</v>
      </c>
      <c r="G14">
        <v>137.490005</v>
      </c>
      <c r="H14">
        <v>119.812737</v>
      </c>
      <c r="I14">
        <f t="shared" si="0"/>
        <v>4.127582706577404E-2</v>
      </c>
      <c r="J14" s="56">
        <f t="shared" si="1"/>
        <v>4.127582706577404</v>
      </c>
    </row>
    <row r="15" spans="3:10">
      <c r="C15" s="39">
        <v>43800</v>
      </c>
      <c r="D15">
        <v>137.720001</v>
      </c>
      <c r="E15">
        <v>147.83999600000001</v>
      </c>
      <c r="F15">
        <v>136.16000399999999</v>
      </c>
      <c r="G15">
        <v>145.86999499999999</v>
      </c>
      <c r="H15">
        <v>127.99601</v>
      </c>
      <c r="I15">
        <f t="shared" si="0"/>
        <v>6.8300526345542067E-2</v>
      </c>
      <c r="J15" s="56">
        <f t="shared" si="1"/>
        <v>6.8300526345542067</v>
      </c>
    </row>
    <row r="16" spans="3:10">
      <c r="C16" s="39">
        <v>43831</v>
      </c>
      <c r="D16">
        <v>145.86999499999999</v>
      </c>
      <c r="E16">
        <v>151.19000199999999</v>
      </c>
      <c r="F16">
        <v>141.38000500000001</v>
      </c>
      <c r="G16">
        <v>148.86999499999999</v>
      </c>
      <c r="H16">
        <v>130.62835699999999</v>
      </c>
      <c r="I16">
        <f t="shared" si="0"/>
        <v>2.0565852013668229E-2</v>
      </c>
      <c r="J16" s="56">
        <f t="shared" si="1"/>
        <v>2.0565852013668229</v>
      </c>
    </row>
    <row r="17" spans="3:10">
      <c r="C17" s="39">
        <v>43862</v>
      </c>
      <c r="D17">
        <v>149.41999799999999</v>
      </c>
      <c r="E17">
        <v>154.5</v>
      </c>
      <c r="F17">
        <v>130.820007</v>
      </c>
      <c r="G17">
        <v>134.479996</v>
      </c>
      <c r="H17">
        <v>118.001633</v>
      </c>
      <c r="I17">
        <f t="shared" si="0"/>
        <v>-9.6661431636930084E-2</v>
      </c>
      <c r="J17" s="56">
        <f t="shared" si="1"/>
        <v>-9.6661431636930075</v>
      </c>
    </row>
    <row r="18" spans="3:10">
      <c r="C18" s="39">
        <v>43891</v>
      </c>
      <c r="D18">
        <v>134.779999</v>
      </c>
      <c r="E18">
        <v>143.63999899999999</v>
      </c>
      <c r="F18">
        <v>109.160004</v>
      </c>
      <c r="G18">
        <v>131.13000500000001</v>
      </c>
      <c r="H18">
        <v>115.795845</v>
      </c>
      <c r="I18">
        <f t="shared" si="0"/>
        <v>-1.8692859953895691E-2</v>
      </c>
      <c r="J18" s="56">
        <f t="shared" si="1"/>
        <v>-1.8692859953895691</v>
      </c>
    </row>
    <row r="19" spans="3:10">
      <c r="C19" s="39">
        <v>43922</v>
      </c>
      <c r="D19">
        <v>127.699997</v>
      </c>
      <c r="E19">
        <v>157</v>
      </c>
      <c r="F19">
        <v>125.5</v>
      </c>
      <c r="G19">
        <v>150.03999300000001</v>
      </c>
      <c r="H19">
        <v>132.49453700000001</v>
      </c>
      <c r="I19">
        <f t="shared" si="0"/>
        <v>0.14420804131616305</v>
      </c>
      <c r="J19" s="56">
        <f t="shared" si="1"/>
        <v>14.420804131616304</v>
      </c>
    </row>
    <row r="20" spans="3:10">
      <c r="C20" s="39">
        <v>43952</v>
      </c>
      <c r="D20">
        <v>149.61999499999999</v>
      </c>
      <c r="E20">
        <v>153.61999499999999</v>
      </c>
      <c r="F20">
        <v>143.009995</v>
      </c>
      <c r="G20">
        <v>148.75</v>
      </c>
      <c r="H20">
        <v>131.355377</v>
      </c>
      <c r="I20">
        <f t="shared" si="0"/>
        <v>-8.5977884507042468E-3</v>
      </c>
      <c r="J20" s="56">
        <f t="shared" si="1"/>
        <v>-0.85977884507042468</v>
      </c>
    </row>
    <row r="21" spans="3:10">
      <c r="C21" s="39">
        <v>43983</v>
      </c>
      <c r="D21">
        <v>147.28999300000001</v>
      </c>
      <c r="E21">
        <v>150.029999</v>
      </c>
      <c r="F21">
        <v>137.020004</v>
      </c>
      <c r="G21">
        <v>140.63000500000001</v>
      </c>
      <c r="H21">
        <v>125.045807</v>
      </c>
      <c r="I21">
        <f t="shared" si="0"/>
        <v>-4.8034348833698726E-2</v>
      </c>
      <c r="J21" s="56">
        <f t="shared" si="1"/>
        <v>-4.8034348833698726</v>
      </c>
    </row>
    <row r="22" spans="3:10">
      <c r="C22" s="39">
        <v>44013</v>
      </c>
      <c r="D22">
        <v>140.69000199999999</v>
      </c>
      <c r="E22">
        <v>151.66999799999999</v>
      </c>
      <c r="F22">
        <v>140.05999800000001</v>
      </c>
      <c r="G22">
        <v>145.759995</v>
      </c>
      <c r="H22">
        <v>129.607269</v>
      </c>
      <c r="I22">
        <f t="shared" si="0"/>
        <v>3.647832829772546E-2</v>
      </c>
      <c r="J22" s="56">
        <f t="shared" si="1"/>
        <v>3.647832829772546</v>
      </c>
    </row>
    <row r="23" spans="3:10">
      <c r="C23" s="39">
        <v>44044</v>
      </c>
      <c r="D23">
        <v>146.38999899999999</v>
      </c>
      <c r="E23">
        <v>154.39999399999999</v>
      </c>
      <c r="F23">
        <v>145.820007</v>
      </c>
      <c r="G23">
        <v>153.41000399999999</v>
      </c>
      <c r="H23">
        <v>136.409561</v>
      </c>
      <c r="I23">
        <f t="shared" si="0"/>
        <v>5.248387727388959E-2</v>
      </c>
      <c r="J23" s="56">
        <f t="shared" si="1"/>
        <v>5.248387727388959</v>
      </c>
    </row>
    <row r="24" spans="3:10">
      <c r="C24" s="39">
        <v>44075</v>
      </c>
      <c r="D24">
        <v>153.86999499999999</v>
      </c>
      <c r="E24">
        <v>155.470001</v>
      </c>
      <c r="F24">
        <v>142.96000699999999</v>
      </c>
      <c r="G24">
        <v>148.88000500000001</v>
      </c>
      <c r="H24">
        <v>133.262665</v>
      </c>
      <c r="I24">
        <f t="shared" si="0"/>
        <v>-2.3069467982526515E-2</v>
      </c>
      <c r="J24" s="56">
        <f t="shared" si="1"/>
        <v>-2.3069467982526515</v>
      </c>
    </row>
    <row r="25" spans="3:10">
      <c r="C25" s="39">
        <v>44105</v>
      </c>
      <c r="D25">
        <v>149.30999800000001</v>
      </c>
      <c r="E25">
        <v>153.13999899999999</v>
      </c>
      <c r="F25">
        <v>133.64999399999999</v>
      </c>
      <c r="G25">
        <v>137.11000100000001</v>
      </c>
      <c r="H25">
        <v>122.72727999999999</v>
      </c>
      <c r="I25">
        <f t="shared" si="0"/>
        <v>-7.9057288851307361E-2</v>
      </c>
      <c r="J25" s="56">
        <f t="shared" si="1"/>
        <v>-7.9057288851307366</v>
      </c>
    </row>
    <row r="26" spans="3:10">
      <c r="C26" s="39">
        <v>44136</v>
      </c>
      <c r="D26">
        <v>138.979996</v>
      </c>
      <c r="E26">
        <v>151.300003</v>
      </c>
      <c r="F26">
        <v>137.490005</v>
      </c>
      <c r="G26">
        <v>144.679993</v>
      </c>
      <c r="H26">
        <v>129.50318899999999</v>
      </c>
      <c r="I26">
        <f t="shared" si="0"/>
        <v>5.5211107098600998E-2</v>
      </c>
      <c r="J26" s="56">
        <f t="shared" si="1"/>
        <v>5.5211107098600998</v>
      </c>
    </row>
    <row r="27" spans="3:10">
      <c r="C27" s="39">
        <v>44166</v>
      </c>
      <c r="D27">
        <v>146.28999300000001</v>
      </c>
      <c r="E27">
        <v>157.66000399999999</v>
      </c>
      <c r="F27">
        <v>145.86000100000001</v>
      </c>
      <c r="G27">
        <v>157.38000500000001</v>
      </c>
      <c r="H27">
        <v>141.84989899999999</v>
      </c>
      <c r="I27">
        <f t="shared" si="0"/>
        <v>9.5339042191463053E-2</v>
      </c>
      <c r="J27" s="56">
        <f t="shared" si="1"/>
        <v>9.5339042191463044</v>
      </c>
    </row>
    <row r="28" spans="3:10">
      <c r="C28" s="39">
        <v>44197</v>
      </c>
      <c r="D28">
        <v>157.240005</v>
      </c>
      <c r="E28">
        <v>173.64999399999999</v>
      </c>
      <c r="F28">
        <v>154.13000500000001</v>
      </c>
      <c r="G28">
        <v>163.13000500000001</v>
      </c>
      <c r="H28">
        <v>147.03247099999999</v>
      </c>
      <c r="I28">
        <f t="shared" si="0"/>
        <v>3.6535605851929498E-2</v>
      </c>
      <c r="J28" s="56">
        <f t="shared" si="1"/>
        <v>3.6535605851929498</v>
      </c>
    </row>
    <row r="29" spans="3:10">
      <c r="C29" s="39">
        <v>44228</v>
      </c>
      <c r="D29">
        <v>165.30999800000001</v>
      </c>
      <c r="E29">
        <v>167.94000199999999</v>
      </c>
      <c r="F29">
        <v>157.970001</v>
      </c>
      <c r="G29">
        <v>158.46000699999999</v>
      </c>
      <c r="H29">
        <v>142.823318</v>
      </c>
      <c r="I29">
        <f t="shared" si="0"/>
        <v>-2.8627370344609049E-2</v>
      </c>
      <c r="J29" s="56">
        <f t="shared" si="1"/>
        <v>-2.8627370344609049</v>
      </c>
    </row>
    <row r="30" spans="3:10">
      <c r="C30" s="39">
        <v>44256</v>
      </c>
      <c r="D30">
        <v>161.449997</v>
      </c>
      <c r="E30">
        <v>167.029999</v>
      </c>
      <c r="F30">
        <v>151.470001</v>
      </c>
      <c r="G30">
        <v>164.35000600000001</v>
      </c>
      <c r="H30">
        <v>149.05581699999999</v>
      </c>
      <c r="I30">
        <f t="shared" si="0"/>
        <v>4.3637825302448086E-2</v>
      </c>
      <c r="J30" s="56">
        <f t="shared" si="1"/>
        <v>4.3637825302448086</v>
      </c>
    </row>
    <row r="31" spans="3:10">
      <c r="C31" s="39">
        <v>44287</v>
      </c>
      <c r="D31">
        <v>162.60000600000001</v>
      </c>
      <c r="E31">
        <v>167.78999300000001</v>
      </c>
      <c r="F31">
        <v>156.529999</v>
      </c>
      <c r="G31">
        <v>162.729996</v>
      </c>
      <c r="H31">
        <v>147.58654799999999</v>
      </c>
      <c r="I31">
        <f t="shared" si="0"/>
        <v>-9.8571731688941178E-3</v>
      </c>
      <c r="J31" s="56">
        <f t="shared" si="1"/>
        <v>-0.98571731688941178</v>
      </c>
    </row>
    <row r="32" spans="3:10">
      <c r="C32" s="39">
        <v>44317</v>
      </c>
      <c r="D32">
        <v>163.60000600000001</v>
      </c>
      <c r="E32">
        <v>172.740005</v>
      </c>
      <c r="F32">
        <v>163.11999499999999</v>
      </c>
      <c r="G32">
        <v>169.25</v>
      </c>
      <c r="H32">
        <v>153.49980199999999</v>
      </c>
      <c r="I32">
        <f t="shared" si="0"/>
        <v>4.0066348052262724E-2</v>
      </c>
      <c r="J32" s="56">
        <f t="shared" si="1"/>
        <v>4.0066348052262724</v>
      </c>
    </row>
    <row r="33" spans="3:10">
      <c r="C33" s="39">
        <v>44348</v>
      </c>
      <c r="D33">
        <v>170.14999399999999</v>
      </c>
      <c r="E33">
        <v>170.199997</v>
      </c>
      <c r="F33">
        <v>161.78999300000001</v>
      </c>
      <c r="G33">
        <v>164.740005</v>
      </c>
      <c r="H33">
        <v>150.34165999999999</v>
      </c>
      <c r="I33">
        <f t="shared" si="0"/>
        <v>-2.0574241522474446E-2</v>
      </c>
      <c r="J33" s="56">
        <f t="shared" si="1"/>
        <v>-2.0574241522474446</v>
      </c>
    </row>
    <row r="34" spans="3:10">
      <c r="C34" s="39">
        <v>44378</v>
      </c>
      <c r="D34">
        <v>164.740005</v>
      </c>
      <c r="E34">
        <v>173.38000500000001</v>
      </c>
      <c r="F34">
        <v>164.63000500000001</v>
      </c>
      <c r="G34">
        <v>172.199997</v>
      </c>
      <c r="H34">
        <v>157.149643</v>
      </c>
      <c r="I34">
        <f t="shared" si="0"/>
        <v>4.528340980138168E-2</v>
      </c>
      <c r="J34" s="56">
        <f t="shared" si="1"/>
        <v>4.528340980138168</v>
      </c>
    </row>
    <row r="35" spans="3:10">
      <c r="C35" s="39">
        <v>44409</v>
      </c>
      <c r="D35">
        <v>172.470001</v>
      </c>
      <c r="E35">
        <v>179.91999799999999</v>
      </c>
      <c r="F35">
        <v>171.300003</v>
      </c>
      <c r="G35">
        <v>173.13000500000001</v>
      </c>
      <c r="H35">
        <v>157.99838299999999</v>
      </c>
      <c r="I35">
        <f t="shared" si="0"/>
        <v>5.4008395042932644E-3</v>
      </c>
      <c r="J35" s="56">
        <f t="shared" si="1"/>
        <v>0.54008395042932644</v>
      </c>
    </row>
    <row r="36" spans="3:10">
      <c r="C36" s="39">
        <v>44440</v>
      </c>
      <c r="D36">
        <v>172.89999399999999</v>
      </c>
      <c r="E36">
        <v>175.220001</v>
      </c>
      <c r="F36">
        <v>161.41000399999999</v>
      </c>
      <c r="G36">
        <v>161.5</v>
      </c>
      <c r="H36">
        <v>148.26063500000001</v>
      </c>
      <c r="I36">
        <f t="shared" si="0"/>
        <v>-6.1631947207965943E-2</v>
      </c>
      <c r="J36" s="56">
        <f t="shared" si="1"/>
        <v>-6.1631947207965947</v>
      </c>
    </row>
    <row r="37" spans="3:10">
      <c r="C37" s="39">
        <v>44470</v>
      </c>
      <c r="D37">
        <v>161.529999</v>
      </c>
      <c r="E37">
        <v>166.029999</v>
      </c>
      <c r="F37">
        <v>157.33999600000001</v>
      </c>
      <c r="G37">
        <v>162.88000500000001</v>
      </c>
      <c r="H37">
        <v>149.527512</v>
      </c>
      <c r="I37">
        <f t="shared" si="0"/>
        <v>8.544931700852354E-3</v>
      </c>
      <c r="J37" s="56">
        <f t="shared" si="1"/>
        <v>0.8544931700852354</v>
      </c>
    </row>
    <row r="38" spans="3:10">
      <c r="C38" s="39">
        <v>44501</v>
      </c>
      <c r="D38">
        <v>163.16000399999999</v>
      </c>
      <c r="E38">
        <v>167.61999499999999</v>
      </c>
      <c r="F38">
        <v>155.85000600000001</v>
      </c>
      <c r="G38">
        <v>155.929993</v>
      </c>
      <c r="H38">
        <v>143.14724699999999</v>
      </c>
      <c r="I38">
        <f t="shared" si="0"/>
        <v>-4.2669505528855511E-2</v>
      </c>
      <c r="J38" s="56">
        <f t="shared" si="1"/>
        <v>-4.2669505528855511</v>
      </c>
    </row>
    <row r="39" spans="3:10">
      <c r="C39" s="39">
        <v>44531</v>
      </c>
      <c r="D39">
        <v>156.88000500000001</v>
      </c>
      <c r="E39">
        <v>173.509995</v>
      </c>
      <c r="F39">
        <v>156.25</v>
      </c>
      <c r="G39">
        <v>171.070007</v>
      </c>
      <c r="H39">
        <v>158.07476800000001</v>
      </c>
      <c r="I39">
        <f t="shared" si="0"/>
        <v>0.10428088079123188</v>
      </c>
      <c r="J39" s="56">
        <f t="shared" si="1"/>
        <v>10.428088079123189</v>
      </c>
    </row>
    <row r="40" spans="3:10">
      <c r="C40" s="39">
        <v>44562</v>
      </c>
      <c r="D40">
        <v>170.21000699999999</v>
      </c>
      <c r="E40">
        <v>174.300003</v>
      </c>
      <c r="F40">
        <v>158.259995</v>
      </c>
      <c r="G40">
        <v>172.28999300000001</v>
      </c>
      <c r="H40">
        <v>159.20210299999999</v>
      </c>
      <c r="I40">
        <f t="shared" si="0"/>
        <v>7.1316568372252753E-3</v>
      </c>
      <c r="J40" s="56">
        <f t="shared" si="1"/>
        <v>0.71316568372252753</v>
      </c>
    </row>
    <row r="41" spans="3:10">
      <c r="C41" s="39">
        <v>44593</v>
      </c>
      <c r="D41">
        <v>171.740005</v>
      </c>
      <c r="E41">
        <v>173.61999499999999</v>
      </c>
      <c r="F41">
        <v>155.720001</v>
      </c>
      <c r="G41">
        <v>164.570007</v>
      </c>
      <c r="H41">
        <v>152.068558</v>
      </c>
      <c r="I41">
        <f t="shared" si="0"/>
        <v>-4.4808107842645772E-2</v>
      </c>
      <c r="J41" s="56">
        <f t="shared" si="1"/>
        <v>-4.4808107842645768</v>
      </c>
    </row>
    <row r="42" spans="3:10">
      <c r="C42" s="39">
        <v>44621</v>
      </c>
      <c r="D42">
        <v>163.03999300000001</v>
      </c>
      <c r="E42">
        <v>180.21000699999999</v>
      </c>
      <c r="F42">
        <v>162.41000399999999</v>
      </c>
      <c r="G42">
        <v>177.229996</v>
      </c>
      <c r="H42">
        <v>164.818085</v>
      </c>
      <c r="I42">
        <f t="shared" si="0"/>
        <v>8.3840651661864163E-2</v>
      </c>
      <c r="J42" s="56">
        <f t="shared" si="1"/>
        <v>8.3840651661864172</v>
      </c>
    </row>
    <row r="43" spans="3:10">
      <c r="C43" s="39">
        <v>44652</v>
      </c>
      <c r="D43">
        <v>177.050003</v>
      </c>
      <c r="E43">
        <v>186.69000199999999</v>
      </c>
      <c r="F43">
        <v>175.520004</v>
      </c>
      <c r="G43">
        <v>180.46000699999999</v>
      </c>
      <c r="H43">
        <v>167.82191499999999</v>
      </c>
      <c r="I43">
        <f t="shared" si="0"/>
        <v>1.82251237781339E-2</v>
      </c>
      <c r="J43" s="56">
        <f t="shared" si="1"/>
        <v>1.82251237781339</v>
      </c>
    </row>
    <row r="44" spans="3:10">
      <c r="C44" s="39">
        <v>44682</v>
      </c>
      <c r="D44">
        <v>180.470001</v>
      </c>
      <c r="E44">
        <v>181.740005</v>
      </c>
      <c r="F44">
        <v>172.69000199999999</v>
      </c>
      <c r="G44">
        <v>179.529999</v>
      </c>
      <c r="H44">
        <v>166.95697000000001</v>
      </c>
      <c r="I44">
        <f t="shared" si="0"/>
        <v>-5.1539454784553795E-3</v>
      </c>
      <c r="J44" s="56">
        <f t="shared" si="1"/>
        <v>-0.51539454784553795</v>
      </c>
    </row>
    <row r="45" spans="3:10">
      <c r="C45" s="39">
        <v>44713</v>
      </c>
      <c r="D45">
        <v>179.14999399999999</v>
      </c>
      <c r="E45">
        <v>183.35000600000001</v>
      </c>
      <c r="F45">
        <v>167.259995</v>
      </c>
      <c r="G45">
        <v>177.509995</v>
      </c>
      <c r="H45">
        <v>166.13926699999999</v>
      </c>
      <c r="I45">
        <f t="shared" si="0"/>
        <v>-4.8976871106370945E-3</v>
      </c>
      <c r="J45" s="56">
        <f t="shared" si="1"/>
        <v>-0.48976871106370945</v>
      </c>
    </row>
    <row r="46" spans="3:10">
      <c r="C46" s="39">
        <v>44743</v>
      </c>
      <c r="D46">
        <v>177.449997</v>
      </c>
      <c r="E46">
        <v>179.990005</v>
      </c>
      <c r="F46">
        <v>169.759995</v>
      </c>
      <c r="G46">
        <v>174.520004</v>
      </c>
      <c r="H46">
        <v>163.34079</v>
      </c>
      <c r="I46">
        <f t="shared" si="0"/>
        <v>-1.6844163637726894E-2</v>
      </c>
      <c r="J46" s="56">
        <f t="shared" si="1"/>
        <v>-1.6844163637726894</v>
      </c>
    </row>
    <row r="47" spans="3:10">
      <c r="C47" s="39">
        <v>44774</v>
      </c>
      <c r="D47">
        <v>174.16999799999999</v>
      </c>
      <c r="E47">
        <v>175.490005</v>
      </c>
      <c r="F47">
        <v>161.270004</v>
      </c>
      <c r="G47">
        <v>161.33999600000001</v>
      </c>
      <c r="H47">
        <v>151.005066</v>
      </c>
      <c r="I47">
        <f t="shared" si="0"/>
        <v>-7.5521393033546658E-2</v>
      </c>
      <c r="J47" s="56">
        <f t="shared" si="1"/>
        <v>-7.5521393033546662</v>
      </c>
    </row>
    <row r="48" spans="3:10">
      <c r="C48" s="39">
        <v>44805</v>
      </c>
      <c r="D48">
        <v>161.490005</v>
      </c>
      <c r="E48">
        <v>167.66999799999999</v>
      </c>
      <c r="F48">
        <v>160.80999800000001</v>
      </c>
      <c r="G48">
        <v>163.36000100000001</v>
      </c>
      <c r="H48">
        <v>153.92295799999999</v>
      </c>
      <c r="I48">
        <f t="shared" si="0"/>
        <v>1.9323139794528377E-2</v>
      </c>
      <c r="J48" s="56">
        <f t="shared" si="1"/>
        <v>1.9323139794528377</v>
      </c>
    </row>
    <row r="49" spans="3:10">
      <c r="C49" s="39">
        <v>44835</v>
      </c>
      <c r="D49">
        <v>164.28999300000001</v>
      </c>
      <c r="E49">
        <v>175.38999899999999</v>
      </c>
      <c r="F49">
        <v>159.16999799999999</v>
      </c>
      <c r="G49">
        <v>173.970001</v>
      </c>
      <c r="H49">
        <v>163.92005900000001</v>
      </c>
      <c r="I49">
        <f t="shared" si="0"/>
        <v>6.4948732339200621E-2</v>
      </c>
      <c r="J49" s="56">
        <f t="shared" si="1"/>
        <v>6.4948732339200621</v>
      </c>
    </row>
    <row r="50" spans="3:10">
      <c r="C50" s="39">
        <v>44866</v>
      </c>
      <c r="D50">
        <v>174.05999800000001</v>
      </c>
      <c r="E50">
        <v>178.11999499999999</v>
      </c>
      <c r="F50">
        <v>166.820007</v>
      </c>
      <c r="G50">
        <v>178</v>
      </c>
      <c r="H50">
        <v>167.71723900000001</v>
      </c>
      <c r="I50">
        <f t="shared" si="0"/>
        <v>2.3164828167857143E-2</v>
      </c>
      <c r="J50" s="56">
        <f t="shared" si="1"/>
        <v>2.3164828167857143</v>
      </c>
    </row>
    <row r="51" spans="3:10">
      <c r="C51" s="39">
        <v>44896</v>
      </c>
      <c r="D51">
        <v>179</v>
      </c>
      <c r="E51">
        <v>181.03999300000001</v>
      </c>
      <c r="F51">
        <v>174.070007</v>
      </c>
      <c r="G51">
        <v>176.64999399999999</v>
      </c>
      <c r="H51">
        <v>167.519577</v>
      </c>
      <c r="I51">
        <f t="shared" si="0"/>
        <v>-1.1785431311566175E-3</v>
      </c>
      <c r="J51" s="56">
        <f t="shared" si="1"/>
        <v>-0.11785431311566175</v>
      </c>
    </row>
    <row r="52" spans="3:10">
      <c r="C52" s="39">
        <v>44927</v>
      </c>
      <c r="D52">
        <v>176.16000399999999</v>
      </c>
      <c r="E52">
        <v>180.929993</v>
      </c>
      <c r="F52">
        <v>161.050003</v>
      </c>
      <c r="G52">
        <v>163.41999799999999</v>
      </c>
      <c r="H52">
        <v>154.97337300000001</v>
      </c>
      <c r="I52">
        <f t="shared" si="0"/>
        <v>-7.4893957020915725E-2</v>
      </c>
      <c r="J52" s="56">
        <f t="shared" si="1"/>
        <v>-7.4893957020915725</v>
      </c>
    </row>
    <row r="53" spans="3:10">
      <c r="C53" s="39">
        <v>44958</v>
      </c>
      <c r="D53">
        <v>162.990005</v>
      </c>
      <c r="E53">
        <v>166.33999600000001</v>
      </c>
      <c r="F53">
        <v>153.03999300000001</v>
      </c>
      <c r="G53">
        <v>153.259995</v>
      </c>
      <c r="H53">
        <v>145.338516</v>
      </c>
      <c r="I53">
        <f t="shared" si="0"/>
        <v>-6.2171047925762113E-2</v>
      </c>
      <c r="J53" s="56">
        <f t="shared" si="1"/>
        <v>-6.2171047925762117</v>
      </c>
    </row>
    <row r="54" spans="3:10">
      <c r="C54" s="39">
        <v>44986</v>
      </c>
      <c r="D54">
        <v>153.009995</v>
      </c>
      <c r="E54">
        <v>156.25</v>
      </c>
      <c r="F54">
        <v>150.11000100000001</v>
      </c>
      <c r="G54">
        <v>155</v>
      </c>
      <c r="H54">
        <v>148.04579200000001</v>
      </c>
      <c r="I54">
        <f t="shared" si="0"/>
        <v>1.8627381608878002E-2</v>
      </c>
      <c r="J54" s="56">
        <f t="shared" si="1"/>
        <v>1.8627381608878002</v>
      </c>
    </row>
    <row r="55" spans="3:10">
      <c r="C55" s="39">
        <v>45017</v>
      </c>
      <c r="D55">
        <v>154.949997</v>
      </c>
      <c r="E55">
        <v>167.229996</v>
      </c>
      <c r="F55">
        <v>153.94000199999999</v>
      </c>
      <c r="G55">
        <v>163.699997</v>
      </c>
      <c r="H55">
        <v>156.35545300000001</v>
      </c>
      <c r="I55">
        <f t="shared" si="0"/>
        <v>5.6128991494739822E-2</v>
      </c>
      <c r="J55" s="56">
        <f t="shared" si="1"/>
        <v>5.6128991494739822</v>
      </c>
    </row>
    <row r="56" spans="3:10">
      <c r="C56" s="39">
        <v>45047</v>
      </c>
      <c r="D56">
        <v>163.60000600000001</v>
      </c>
      <c r="E56">
        <v>166.179993</v>
      </c>
      <c r="F56">
        <v>153.320007</v>
      </c>
      <c r="G56">
        <v>155.05999800000001</v>
      </c>
      <c r="H56">
        <v>148.10308800000001</v>
      </c>
      <c r="I56">
        <f t="shared" si="0"/>
        <v>-5.2779515147450606E-2</v>
      </c>
      <c r="J56" s="56">
        <f t="shared" si="1"/>
        <v>-5.2779515147450606</v>
      </c>
    </row>
    <row r="57" spans="3:10">
      <c r="C57" s="39">
        <v>45078</v>
      </c>
      <c r="D57">
        <v>154.53999300000001</v>
      </c>
      <c r="E57">
        <v>166.270004</v>
      </c>
      <c r="F57">
        <v>153.14999399999999</v>
      </c>
      <c r="G57">
        <v>165.520004</v>
      </c>
      <c r="H57">
        <v>159.28660600000001</v>
      </c>
      <c r="I57">
        <f t="shared" si="0"/>
        <v>7.5511713840834993E-2</v>
      </c>
      <c r="J57" s="56">
        <f t="shared" si="1"/>
        <v>7.5511713840834993</v>
      </c>
    </row>
    <row r="58" spans="3:10">
      <c r="C58" s="39">
        <v>45108</v>
      </c>
      <c r="D58">
        <v>164.33999600000001</v>
      </c>
      <c r="E58">
        <v>175.36000100000001</v>
      </c>
      <c r="F58">
        <v>157.33000200000001</v>
      </c>
      <c r="G58">
        <v>167.529999</v>
      </c>
      <c r="H58">
        <v>161.220901</v>
      </c>
      <c r="I58">
        <f t="shared" si="0"/>
        <v>1.2143488072060338E-2</v>
      </c>
      <c r="J58" s="56">
        <f t="shared" si="1"/>
        <v>1.2143488072060338</v>
      </c>
    </row>
    <row r="59" spans="3:10">
      <c r="C59" s="39">
        <v>45139</v>
      </c>
      <c r="D59">
        <v>166.36999499999999</v>
      </c>
      <c r="E59">
        <v>175.970001</v>
      </c>
      <c r="F59">
        <v>161.279999</v>
      </c>
      <c r="G59">
        <v>161.679993</v>
      </c>
      <c r="H59">
        <v>155.591217</v>
      </c>
      <c r="I59">
        <f t="shared" si="0"/>
        <v>-3.4919070449804801E-2</v>
      </c>
      <c r="J59" s="56">
        <f t="shared" si="1"/>
        <v>-3.4919070449804801</v>
      </c>
    </row>
    <row r="60" spans="3:10">
      <c r="C60" s="39">
        <v>45170</v>
      </c>
      <c r="D60">
        <v>161.41999799999999</v>
      </c>
      <c r="E60">
        <v>165.270004</v>
      </c>
      <c r="F60">
        <v>155.259995</v>
      </c>
      <c r="G60">
        <v>155.75</v>
      </c>
      <c r="H60">
        <v>150.97279399999999</v>
      </c>
      <c r="I60">
        <f t="shared" si="0"/>
        <v>-2.9683057238378718E-2</v>
      </c>
      <c r="J60" s="56">
        <f t="shared" si="1"/>
        <v>-2.9683057238378718</v>
      </c>
    </row>
    <row r="61" spans="3:10">
      <c r="C61" s="39">
        <v>45200</v>
      </c>
      <c r="D61">
        <v>155.41999799999999</v>
      </c>
      <c r="E61">
        <v>159.270004</v>
      </c>
      <c r="F61">
        <v>144.949997</v>
      </c>
      <c r="G61">
        <v>148.33999600000001</v>
      </c>
      <c r="H61">
        <v>143.79003900000001</v>
      </c>
      <c r="I61">
        <f t="shared" si="0"/>
        <v>-4.7576485866718365E-2</v>
      </c>
      <c r="J61" s="56">
        <f t="shared" si="1"/>
        <v>-4.7576485866718361</v>
      </c>
    </row>
    <row r="62" spans="3:10">
      <c r="C62" s="39">
        <v>45231</v>
      </c>
      <c r="D62">
        <v>149.19000199999999</v>
      </c>
      <c r="E62">
        <v>155.13999899999999</v>
      </c>
      <c r="F62">
        <v>145.63999899999999</v>
      </c>
      <c r="G62">
        <v>154.66000399999999</v>
      </c>
      <c r="H62">
        <v>149.916214</v>
      </c>
      <c r="I62">
        <f t="shared" si="0"/>
        <v>4.2605002701195271E-2</v>
      </c>
      <c r="J62" s="56">
        <f t="shared" si="1"/>
        <v>4.2605002701195271</v>
      </c>
    </row>
    <row r="63" spans="3:10">
      <c r="C63" s="39">
        <v>45261</v>
      </c>
      <c r="D63">
        <v>156.44000199999999</v>
      </c>
      <c r="E63">
        <v>160.020004</v>
      </c>
      <c r="F63">
        <v>151.770004</v>
      </c>
      <c r="G63">
        <v>156.740005</v>
      </c>
      <c r="H63">
        <v>153.14910900000001</v>
      </c>
      <c r="I63">
        <f t="shared" si="0"/>
        <v>2.1564678787846292E-2</v>
      </c>
      <c r="J63" s="56">
        <f t="shared" si="1"/>
        <v>2.1564678787846292</v>
      </c>
    </row>
    <row r="64" spans="3:10">
      <c r="C64" s="38"/>
    </row>
    <row r="65" spans="7:8">
      <c r="G65" t="s">
        <v>139</v>
      </c>
      <c r="H65">
        <f>H63/H51-1</f>
        <v>-8.5783812598810405E-2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C24A-6A06-4241-8D84-E0BCB7B93BC1}">
  <dimension ref="B2:V138"/>
  <sheetViews>
    <sheetView topLeftCell="A50" zoomScale="70" zoomScaleNormal="70" workbookViewId="0">
      <selection activeCell="R5" sqref="R5"/>
    </sheetView>
  </sheetViews>
  <sheetFormatPr defaultRowHeight="14.4"/>
  <cols>
    <col min="1" max="1" width="4.77734375" customWidth="1"/>
    <col min="2" max="2" width="12.77734375" customWidth="1"/>
    <col min="3" max="3" width="11.21875" style="11" customWidth="1"/>
    <col min="4" max="4" width="9.88671875" style="1" customWidth="1"/>
    <col min="5" max="5" width="9.6640625" style="1" customWidth="1"/>
    <col min="6" max="6" width="11.44140625" style="11" customWidth="1"/>
    <col min="7" max="8" width="11" style="11" customWidth="1"/>
    <col min="9" max="9" width="11.44140625" style="11" customWidth="1"/>
    <col min="10" max="10" width="10.33203125" style="11" customWidth="1"/>
    <col min="11" max="11" width="10.21875" customWidth="1"/>
    <col min="12" max="13" width="9.6640625" customWidth="1"/>
    <col min="14" max="14" width="9.33203125" customWidth="1"/>
    <col min="15" max="15" width="13.44140625" style="11" customWidth="1"/>
    <col min="16" max="16" width="14.44140625" customWidth="1"/>
  </cols>
  <sheetData>
    <row r="2" spans="2:18">
      <c r="I2" s="69" t="s">
        <v>141</v>
      </c>
      <c r="J2" s="69"/>
      <c r="K2" s="69"/>
      <c r="L2" s="69"/>
      <c r="M2" s="69"/>
      <c r="N2" s="69"/>
    </row>
    <row r="3" spans="2:18" ht="28.8">
      <c r="B3" s="3" t="s">
        <v>5</v>
      </c>
      <c r="C3" s="34" t="s">
        <v>51</v>
      </c>
      <c r="D3" s="34" t="s">
        <v>53</v>
      </c>
      <c r="E3" s="34" t="s">
        <v>52</v>
      </c>
      <c r="F3" s="34" t="s">
        <v>54</v>
      </c>
      <c r="G3" s="34" t="s">
        <v>55</v>
      </c>
      <c r="H3" s="34" t="s">
        <v>70</v>
      </c>
      <c r="I3" s="37" t="s">
        <v>143</v>
      </c>
      <c r="J3" s="37" t="s">
        <v>144</v>
      </c>
      <c r="K3" s="58" t="s">
        <v>145</v>
      </c>
      <c r="L3" s="58" t="s">
        <v>146</v>
      </c>
      <c r="M3" s="58" t="s">
        <v>147</v>
      </c>
      <c r="N3" s="58" t="s">
        <v>148</v>
      </c>
      <c r="O3" s="37" t="s">
        <v>56</v>
      </c>
      <c r="P3" s="12" t="s">
        <v>50</v>
      </c>
    </row>
    <row r="4" spans="2:18">
      <c r="B4" s="4">
        <v>43466</v>
      </c>
      <c r="C4" s="28">
        <v>26.840019026525898</v>
      </c>
      <c r="D4" s="28">
        <v>30.169330206357841</v>
      </c>
      <c r="E4" s="28">
        <v>32.231859817543871</v>
      </c>
      <c r="F4" s="28">
        <v>19.147435684112946</v>
      </c>
      <c r="G4" s="28">
        <v>5.9378754075853672</v>
      </c>
      <c r="H4" s="28">
        <v>3.122792970345567</v>
      </c>
      <c r="I4" s="32">
        <f>C4-P4</f>
        <v>26.630019026525897</v>
      </c>
      <c r="J4" s="32">
        <f>D4-P4</f>
        <v>29.959330206357841</v>
      </c>
      <c r="K4" s="31">
        <f>E4-P4</f>
        <v>32.02185981754387</v>
      </c>
      <c r="L4" s="31">
        <f>F4-P4</f>
        <v>18.937435684112945</v>
      </c>
      <c r="M4" s="31">
        <f>G4-P4</f>
        <v>5.7278754075853673</v>
      </c>
      <c r="N4" s="31">
        <f>H4-P4</f>
        <v>2.9127929703455671</v>
      </c>
      <c r="O4" s="1">
        <v>8.4</v>
      </c>
      <c r="P4" s="2">
        <v>0.21</v>
      </c>
    </row>
    <row r="5" spans="2:18">
      <c r="B5" s="4">
        <v>43497</v>
      </c>
      <c r="C5" s="28">
        <v>5.4786468335787948</v>
      </c>
      <c r="D5" s="28">
        <v>2.4991510612513164</v>
      </c>
      <c r="E5" s="28">
        <v>-3.6050757886112312</v>
      </c>
      <c r="F5" s="28">
        <v>3.8742814785530664</v>
      </c>
      <c r="G5" s="28">
        <v>0.77757816296777338</v>
      </c>
      <c r="H5" s="28">
        <v>2.6750789047952583</v>
      </c>
      <c r="I5" s="32">
        <f t="shared" ref="I5:I63" si="0">C5-P5</f>
        <v>5.2986468335787951</v>
      </c>
      <c r="J5" s="32">
        <f t="shared" ref="J5:J63" si="1">D5-P5</f>
        <v>2.3191510612513162</v>
      </c>
      <c r="K5" s="31">
        <f t="shared" ref="K5:K63" si="2">E5-P5</f>
        <v>-3.7850757886112314</v>
      </c>
      <c r="L5" s="31">
        <f t="shared" ref="L5:L63" si="3">F5-P5</f>
        <v>3.6942814785530662</v>
      </c>
      <c r="M5" s="31">
        <f t="shared" ref="M5:M63" si="4">G5-P5</f>
        <v>0.59757816296777344</v>
      </c>
      <c r="N5" s="31">
        <f t="shared" ref="N5:N63" si="5">H5-P5</f>
        <v>2.4950789047952582</v>
      </c>
      <c r="O5" s="1">
        <v>3.4000000000000004</v>
      </c>
      <c r="P5" s="2">
        <v>0.18</v>
      </c>
      <c r="R5" t="s">
        <v>149</v>
      </c>
    </row>
    <row r="6" spans="2:18">
      <c r="B6" s="4">
        <v>43525</v>
      </c>
      <c r="C6" s="28">
        <v>-0.43004969958028993</v>
      </c>
      <c r="D6" s="28">
        <v>-17.167674777298771</v>
      </c>
      <c r="E6" s="28">
        <v>8.4572839584664745</v>
      </c>
      <c r="F6" s="28">
        <v>0.55185728928368538</v>
      </c>
      <c r="G6" s="28">
        <v>0.6108358882950633</v>
      </c>
      <c r="H6" s="28">
        <v>2.9838758848848235</v>
      </c>
      <c r="I6" s="32">
        <f t="shared" si="0"/>
        <v>-0.62004969958028999</v>
      </c>
      <c r="J6" s="32">
        <f t="shared" si="1"/>
        <v>-17.357674777298772</v>
      </c>
      <c r="K6" s="31">
        <f t="shared" si="2"/>
        <v>8.267283958466475</v>
      </c>
      <c r="L6" s="31">
        <f t="shared" si="3"/>
        <v>0.36185728928368538</v>
      </c>
      <c r="M6" s="31">
        <f t="shared" si="4"/>
        <v>0.4208358882950633</v>
      </c>
      <c r="N6" s="31">
        <f t="shared" si="5"/>
        <v>2.7938758848848235</v>
      </c>
      <c r="O6" s="1">
        <v>1.1000000000000001</v>
      </c>
      <c r="P6" s="2">
        <v>0.19</v>
      </c>
    </row>
    <row r="7" spans="2:18">
      <c r="B7" s="4">
        <v>43556</v>
      </c>
      <c r="C7" s="28">
        <v>3.9208018505766287</v>
      </c>
      <c r="D7" s="28">
        <v>-10.36289961140724</v>
      </c>
      <c r="E7" s="28">
        <v>8.2680211598746158</v>
      </c>
      <c r="F7" s="28">
        <v>16.44587244511732</v>
      </c>
      <c r="G7" s="28">
        <v>1.5018357565106137</v>
      </c>
      <c r="H7" s="28">
        <v>1.0086568743650437</v>
      </c>
      <c r="I7" s="32">
        <f t="shared" si="0"/>
        <v>3.7108018505766287</v>
      </c>
      <c r="J7" s="32">
        <f t="shared" si="1"/>
        <v>-10.572899611407241</v>
      </c>
      <c r="K7" s="31">
        <f t="shared" si="2"/>
        <v>8.058021159874615</v>
      </c>
      <c r="L7" s="31">
        <f t="shared" si="3"/>
        <v>16.23587244511732</v>
      </c>
      <c r="M7" s="31">
        <f t="shared" si="4"/>
        <v>1.2918357565106138</v>
      </c>
      <c r="N7" s="31">
        <f t="shared" si="5"/>
        <v>0.79865687436504373</v>
      </c>
      <c r="O7" s="1">
        <v>3.9699999999999998</v>
      </c>
      <c r="P7" s="2">
        <v>0.21</v>
      </c>
    </row>
    <row r="8" spans="2:18">
      <c r="B8" s="4">
        <v>43586</v>
      </c>
      <c r="C8" s="28">
        <v>-7.3568330916729767</v>
      </c>
      <c r="D8" s="28">
        <v>-12.640575798470529</v>
      </c>
      <c r="E8" s="28">
        <v>-0.79623238495231707</v>
      </c>
      <c r="F8" s="28">
        <v>-5.6720267458479894</v>
      </c>
      <c r="G8" s="28">
        <v>-2.7073792335491724</v>
      </c>
      <c r="H8" s="28">
        <v>-7.1175869209079146</v>
      </c>
      <c r="I8" s="32">
        <f t="shared" si="0"/>
        <v>-7.5668330916729767</v>
      </c>
      <c r="J8" s="32">
        <f t="shared" si="1"/>
        <v>-12.85057579847053</v>
      </c>
      <c r="K8" s="31">
        <f t="shared" si="2"/>
        <v>-1.0062323849523171</v>
      </c>
      <c r="L8" s="31">
        <f t="shared" si="3"/>
        <v>-5.8820267458479893</v>
      </c>
      <c r="M8" s="31">
        <f t="shared" si="4"/>
        <v>-2.9173792335491724</v>
      </c>
      <c r="N8" s="31">
        <f t="shared" si="5"/>
        <v>-7.3275869209079145</v>
      </c>
      <c r="O8" s="1">
        <v>-6.94</v>
      </c>
      <c r="P8" s="2">
        <v>0.21</v>
      </c>
    </row>
    <row r="9" spans="2:18">
      <c r="B9" s="4">
        <v>43617</v>
      </c>
      <c r="C9" s="28">
        <v>7.003031947690026</v>
      </c>
      <c r="D9" s="28">
        <v>6.2306848609680729</v>
      </c>
      <c r="E9" s="28">
        <v>10.798982123312653</v>
      </c>
      <c r="F9" s="28">
        <v>13.163333680852299</v>
      </c>
      <c r="G9" s="28">
        <v>5.2742257680921139</v>
      </c>
      <c r="H9" s="28">
        <v>6.925664850895541</v>
      </c>
      <c r="I9" s="32">
        <f t="shared" si="0"/>
        <v>6.8230319476900263</v>
      </c>
      <c r="J9" s="32">
        <f t="shared" si="1"/>
        <v>6.0506848609680732</v>
      </c>
      <c r="K9" s="31">
        <f t="shared" si="2"/>
        <v>10.618982123312653</v>
      </c>
      <c r="L9" s="31">
        <f t="shared" si="3"/>
        <v>12.983333680852299</v>
      </c>
      <c r="M9" s="31">
        <f t="shared" si="4"/>
        <v>5.0942257680921141</v>
      </c>
      <c r="N9" s="31">
        <f t="shared" si="5"/>
        <v>6.7456648508955412</v>
      </c>
      <c r="O9" s="1">
        <v>6.93</v>
      </c>
      <c r="P9" s="2">
        <v>0.18</v>
      </c>
    </row>
    <row r="10" spans="2:18">
      <c r="B10" s="4">
        <v>43647</v>
      </c>
      <c r="C10" s="28">
        <v>-12.068500532289276</v>
      </c>
      <c r="D10" s="28">
        <v>7.9495932113229761</v>
      </c>
      <c r="E10" s="28">
        <v>0.26341783788549056</v>
      </c>
      <c r="F10" s="28">
        <v>-1.81181790499392</v>
      </c>
      <c r="G10" s="28">
        <v>-3.3502397418164902</v>
      </c>
      <c r="H10" s="28">
        <v>-6.504879905676642</v>
      </c>
      <c r="I10" s="32">
        <f t="shared" si="0"/>
        <v>-12.258500532289275</v>
      </c>
      <c r="J10" s="32">
        <f t="shared" si="1"/>
        <v>7.7595932113229757</v>
      </c>
      <c r="K10" s="31">
        <f t="shared" si="2"/>
        <v>7.3417837885490556E-2</v>
      </c>
      <c r="L10" s="31">
        <f t="shared" si="3"/>
        <v>-2.0018179049939202</v>
      </c>
      <c r="M10" s="31">
        <f t="shared" si="4"/>
        <v>-3.5402397418164901</v>
      </c>
      <c r="N10" s="31">
        <f t="shared" si="5"/>
        <v>-6.6948799056766424</v>
      </c>
      <c r="O10" s="1">
        <v>1.19</v>
      </c>
      <c r="P10" s="2">
        <v>0.19</v>
      </c>
    </row>
    <row r="11" spans="2:18">
      <c r="B11" s="4">
        <v>43678</v>
      </c>
      <c r="C11" s="28">
        <v>-9.0529090390695934</v>
      </c>
      <c r="D11" s="28">
        <v>47.148630444544246</v>
      </c>
      <c r="E11" s="28">
        <v>3.2840721417381888</v>
      </c>
      <c r="F11" s="28">
        <v>-3.7525167856261983</v>
      </c>
      <c r="G11" s="28">
        <v>-11.591669766126095</v>
      </c>
      <c r="H11" s="28">
        <v>-1.4283521331100335</v>
      </c>
      <c r="I11" s="32">
        <f t="shared" si="0"/>
        <v>-9.2129090390695936</v>
      </c>
      <c r="J11" s="32">
        <f t="shared" si="1"/>
        <v>46.988630444544249</v>
      </c>
      <c r="K11" s="31">
        <f t="shared" si="2"/>
        <v>3.1240721417381887</v>
      </c>
      <c r="L11" s="31">
        <f t="shared" si="3"/>
        <v>-3.9125167856261984</v>
      </c>
      <c r="M11" s="31">
        <f t="shared" si="4"/>
        <v>-11.751669766126096</v>
      </c>
      <c r="N11" s="31">
        <f t="shared" si="5"/>
        <v>-1.5883521331100334</v>
      </c>
      <c r="O11" s="1">
        <v>-2.58</v>
      </c>
      <c r="P11" s="2">
        <v>0.16</v>
      </c>
    </row>
    <row r="12" spans="2:18">
      <c r="B12" s="4">
        <v>43709</v>
      </c>
      <c r="C12" s="28">
        <v>-8.8953208510638238</v>
      </c>
      <c r="D12" s="28">
        <v>-1.6783613060726263</v>
      </c>
      <c r="E12" s="28">
        <v>-7.821942517585299</v>
      </c>
      <c r="F12" s="28">
        <v>-6.5410053165780528</v>
      </c>
      <c r="G12" s="28">
        <v>5.8453239512706459</v>
      </c>
      <c r="H12" s="28">
        <v>1.5499281835017698</v>
      </c>
      <c r="I12" s="32">
        <f t="shared" si="0"/>
        <v>-9.0753208510638235</v>
      </c>
      <c r="J12" s="32">
        <f t="shared" si="1"/>
        <v>-1.8583613060726263</v>
      </c>
      <c r="K12" s="31">
        <f t="shared" si="2"/>
        <v>-8.0019425175852987</v>
      </c>
      <c r="L12" s="31">
        <f t="shared" si="3"/>
        <v>-6.7210053165780526</v>
      </c>
      <c r="M12" s="31">
        <f t="shared" si="4"/>
        <v>5.6653239512706461</v>
      </c>
      <c r="N12" s="31">
        <f t="shared" si="5"/>
        <v>1.3699281835017698</v>
      </c>
      <c r="O12" s="1">
        <v>1.43</v>
      </c>
      <c r="P12" s="2">
        <v>0.18</v>
      </c>
    </row>
    <row r="13" spans="2:18">
      <c r="B13" s="4">
        <v>43739</v>
      </c>
      <c r="C13" s="28">
        <v>7.3948170427250757</v>
      </c>
      <c r="D13" s="28">
        <v>26.877714870337826</v>
      </c>
      <c r="E13" s="28">
        <v>17.040358744394624</v>
      </c>
      <c r="F13" s="28">
        <v>-10.722284458620402</v>
      </c>
      <c r="G13" s="28">
        <v>-1.4953220559157809</v>
      </c>
      <c r="H13" s="28">
        <v>2.0559325553151098</v>
      </c>
      <c r="I13" s="32">
        <f t="shared" si="0"/>
        <v>7.2348170427250755</v>
      </c>
      <c r="J13" s="32">
        <f t="shared" si="1"/>
        <v>26.717714870337826</v>
      </c>
      <c r="K13" s="31">
        <f t="shared" si="2"/>
        <v>16.880358744394623</v>
      </c>
      <c r="L13" s="31">
        <f t="shared" si="3"/>
        <v>-10.882284458620402</v>
      </c>
      <c r="M13" s="31">
        <f t="shared" si="4"/>
        <v>-1.6553220559157809</v>
      </c>
      <c r="N13" s="31">
        <f t="shared" si="5"/>
        <v>1.8959325553151098</v>
      </c>
      <c r="O13" s="1">
        <v>2.06</v>
      </c>
      <c r="P13" s="2">
        <v>0.16</v>
      </c>
    </row>
    <row r="14" spans="2:18">
      <c r="B14" s="4">
        <v>43770</v>
      </c>
      <c r="C14" s="28">
        <v>9.4812287744862207</v>
      </c>
      <c r="D14" s="28">
        <v>-12.059686593451893</v>
      </c>
      <c r="E14" s="28">
        <v>15.38462127910404</v>
      </c>
      <c r="F14" s="28">
        <v>6.6615194697524736</v>
      </c>
      <c r="G14" s="28">
        <v>-0.82801275093993265</v>
      </c>
      <c r="H14" s="28">
        <v>4.127582706577404</v>
      </c>
      <c r="I14" s="32">
        <f t="shared" si="0"/>
        <v>9.3612287744862215</v>
      </c>
      <c r="J14" s="32">
        <f t="shared" si="1"/>
        <v>-12.179686593451892</v>
      </c>
      <c r="K14" s="31">
        <f t="shared" si="2"/>
        <v>15.264621279104041</v>
      </c>
      <c r="L14" s="31">
        <f t="shared" si="3"/>
        <v>6.5415194697524734</v>
      </c>
      <c r="M14" s="31">
        <f t="shared" si="4"/>
        <v>-0.94801275093993265</v>
      </c>
      <c r="N14" s="31">
        <f t="shared" si="5"/>
        <v>4.0075827065774039</v>
      </c>
      <c r="O14" s="1">
        <v>3.88</v>
      </c>
      <c r="P14" s="2">
        <v>0.12</v>
      </c>
    </row>
    <row r="15" spans="2:18">
      <c r="B15" s="4">
        <v>43800</v>
      </c>
      <c r="C15" s="28">
        <v>2.8316287061383116</v>
      </c>
      <c r="D15" s="28">
        <v>5.2016660583681205</v>
      </c>
      <c r="E15" s="28">
        <v>17.139204743846491</v>
      </c>
      <c r="F15" s="28">
        <v>1.3033978528820591</v>
      </c>
      <c r="G15" s="28">
        <v>2.5917515188119142</v>
      </c>
      <c r="H15" s="28">
        <v>6.8300526345542067</v>
      </c>
      <c r="I15" s="32">
        <f t="shared" si="0"/>
        <v>2.6916287061383115</v>
      </c>
      <c r="J15" s="32">
        <f t="shared" si="1"/>
        <v>5.0616660583681208</v>
      </c>
      <c r="K15" s="31">
        <f t="shared" si="2"/>
        <v>16.999204743846491</v>
      </c>
      <c r="L15" s="31">
        <f t="shared" si="3"/>
        <v>1.163397852882059</v>
      </c>
      <c r="M15" s="31">
        <f t="shared" si="4"/>
        <v>2.4517515188119141</v>
      </c>
      <c r="N15" s="31">
        <f t="shared" si="5"/>
        <v>6.6900526345542071</v>
      </c>
      <c r="O15" s="1">
        <v>2.77</v>
      </c>
      <c r="P15" s="2">
        <v>0.14000000000000001</v>
      </c>
    </row>
    <row r="16" spans="2:18">
      <c r="B16" s="4">
        <v>43831</v>
      </c>
      <c r="C16" s="28">
        <v>6.6507984468412147</v>
      </c>
      <c r="D16" s="28">
        <v>-6.8746668429402344</v>
      </c>
      <c r="E16" s="28">
        <v>2.485824193505803</v>
      </c>
      <c r="F16" s="28">
        <v>-11.400995557558897</v>
      </c>
      <c r="G16" s="28">
        <v>-11.580193285859607</v>
      </c>
      <c r="H16" s="28">
        <v>2.0565852013668229</v>
      </c>
      <c r="I16" s="32">
        <f t="shared" si="0"/>
        <v>6.5207984468412148</v>
      </c>
      <c r="J16" s="32">
        <f t="shared" si="1"/>
        <v>-7.0046668429402343</v>
      </c>
      <c r="K16" s="31">
        <f t="shared" si="2"/>
        <v>2.3558241935058031</v>
      </c>
      <c r="L16" s="31">
        <f t="shared" si="3"/>
        <v>-11.530995557558898</v>
      </c>
      <c r="M16" s="31">
        <f t="shared" si="4"/>
        <v>-11.710193285859608</v>
      </c>
      <c r="N16" s="31">
        <f t="shared" si="5"/>
        <v>1.926585201366823</v>
      </c>
      <c r="O16" s="1">
        <v>-0.11</v>
      </c>
      <c r="P16" s="2">
        <v>0.13</v>
      </c>
    </row>
    <row r="17" spans="2:16">
      <c r="B17" s="4">
        <v>43862</v>
      </c>
      <c r="C17" s="28">
        <v>6.9373216486982692</v>
      </c>
      <c r="D17" s="28">
        <v>1.5899999548551775</v>
      </c>
      <c r="E17" s="28">
        <v>-3.2340425531914962</v>
      </c>
      <c r="F17" s="28">
        <v>-7.6845539457622385</v>
      </c>
      <c r="G17" s="28">
        <v>-15.570474954152456</v>
      </c>
      <c r="H17" s="28">
        <v>-9.6661431636930075</v>
      </c>
      <c r="I17" s="32">
        <f t="shared" si="0"/>
        <v>6.8173216486982691</v>
      </c>
      <c r="J17" s="32">
        <f t="shared" si="1"/>
        <v>1.4699999548551776</v>
      </c>
      <c r="K17" s="31">
        <f t="shared" si="2"/>
        <v>-3.3540425531914964</v>
      </c>
      <c r="L17" s="31">
        <f t="shared" si="3"/>
        <v>-7.8045539457622386</v>
      </c>
      <c r="M17" s="31">
        <f t="shared" si="4"/>
        <v>-15.690474954152455</v>
      </c>
      <c r="N17" s="31">
        <f t="shared" si="5"/>
        <v>-9.7861431636930067</v>
      </c>
      <c r="O17" s="1">
        <v>-8.1300000000000008</v>
      </c>
      <c r="P17" s="2">
        <v>0.12</v>
      </c>
    </row>
    <row r="18" spans="2:16">
      <c r="B18" s="4">
        <v>43891</v>
      </c>
      <c r="C18" s="28">
        <v>1.7532452693635958</v>
      </c>
      <c r="D18" s="28">
        <v>0.69871438509542727</v>
      </c>
      <c r="E18" s="28">
        <v>0</v>
      </c>
      <c r="F18" s="28">
        <v>-21.214767314835051</v>
      </c>
      <c r="G18" s="28">
        <v>-20.75857417121448</v>
      </c>
      <c r="H18" s="28">
        <v>-1.8692859953895691</v>
      </c>
      <c r="I18" s="32">
        <f t="shared" si="0"/>
        <v>1.6232452693635957</v>
      </c>
      <c r="J18" s="32">
        <f t="shared" si="1"/>
        <v>0.56871438509542727</v>
      </c>
      <c r="K18" s="31">
        <f t="shared" si="2"/>
        <v>-0.13</v>
      </c>
      <c r="L18" s="31">
        <f t="shared" si="3"/>
        <v>-21.34476731483505</v>
      </c>
      <c r="M18" s="31">
        <f t="shared" si="4"/>
        <v>-20.888574171214479</v>
      </c>
      <c r="N18" s="31">
        <f t="shared" si="5"/>
        <v>-1.999285995389569</v>
      </c>
      <c r="O18" s="1">
        <v>-13.390000000000002</v>
      </c>
      <c r="P18" s="2">
        <v>0.13</v>
      </c>
    </row>
    <row r="19" spans="2:16">
      <c r="B19" s="4">
        <v>43922</v>
      </c>
      <c r="C19" s="28">
        <v>11.81092037283622</v>
      </c>
      <c r="D19" s="28">
        <v>31.668055278047618</v>
      </c>
      <c r="E19" s="28">
        <v>15.193489445910306</v>
      </c>
      <c r="F19" s="28">
        <v>22.046580087449257</v>
      </c>
      <c r="G19" s="28">
        <v>-5.0444197490518778</v>
      </c>
      <c r="H19" s="28">
        <v>14.420804131616304</v>
      </c>
      <c r="I19" s="32">
        <f t="shared" si="0"/>
        <v>11.81092037283622</v>
      </c>
      <c r="J19" s="32">
        <f t="shared" si="1"/>
        <v>31.668055278047618</v>
      </c>
      <c r="K19" s="31">
        <f t="shared" si="2"/>
        <v>15.193489445910306</v>
      </c>
      <c r="L19" s="31">
        <f t="shared" si="3"/>
        <v>22.046580087449257</v>
      </c>
      <c r="M19" s="31">
        <f t="shared" si="4"/>
        <v>-5.0444197490518778</v>
      </c>
      <c r="N19" s="31">
        <f t="shared" si="5"/>
        <v>14.420804131616304</v>
      </c>
      <c r="O19" s="1">
        <v>13.65</v>
      </c>
      <c r="P19" s="2">
        <v>0</v>
      </c>
    </row>
    <row r="20" spans="2:16">
      <c r="B20" s="4">
        <v>43952</v>
      </c>
      <c r="C20" s="28">
        <v>-2.8580444988731801E-2</v>
      </c>
      <c r="D20" s="28">
        <v>40.957007608705887</v>
      </c>
      <c r="E20" s="28">
        <v>2.6913533630722086</v>
      </c>
      <c r="F20" s="28">
        <v>5.9304728893648138</v>
      </c>
      <c r="G20" s="28">
        <v>-3.5617264243366602</v>
      </c>
      <c r="H20" s="28">
        <v>-0.85977884507042468</v>
      </c>
      <c r="I20" s="32">
        <f t="shared" si="0"/>
        <v>-3.8580444988731803E-2</v>
      </c>
      <c r="J20" s="32">
        <f t="shared" si="1"/>
        <v>40.947007608705889</v>
      </c>
      <c r="K20" s="31">
        <f t="shared" si="2"/>
        <v>2.6813533630722088</v>
      </c>
      <c r="L20" s="31">
        <f t="shared" si="3"/>
        <v>5.920472889364814</v>
      </c>
      <c r="M20" s="31">
        <f t="shared" si="4"/>
        <v>-3.57172642433666</v>
      </c>
      <c r="N20" s="31">
        <f t="shared" si="5"/>
        <v>-0.86977884507042469</v>
      </c>
      <c r="O20" s="1">
        <v>5.58</v>
      </c>
      <c r="P20" s="2">
        <v>0.01</v>
      </c>
    </row>
    <row r="21" spans="2:16">
      <c r="B21" s="4">
        <v>43983</v>
      </c>
      <c r="C21" s="28">
        <v>8.4125502286278042</v>
      </c>
      <c r="D21" s="28">
        <v>28.368464406977822</v>
      </c>
      <c r="E21" s="28">
        <v>-2.2118922344217937</v>
      </c>
      <c r="F21" s="28">
        <v>6.1776084551181567</v>
      </c>
      <c r="G21" s="28">
        <v>2.3161126035645503</v>
      </c>
      <c r="H21" s="28">
        <v>-4.8034348833698726</v>
      </c>
      <c r="I21" s="32">
        <f t="shared" si="0"/>
        <v>8.4025502286278044</v>
      </c>
      <c r="J21" s="32">
        <f t="shared" si="1"/>
        <v>28.35846440697782</v>
      </c>
      <c r="K21" s="31">
        <f t="shared" si="2"/>
        <v>-2.2218922344217935</v>
      </c>
      <c r="L21" s="31">
        <f t="shared" si="3"/>
        <v>6.1676084551181569</v>
      </c>
      <c r="M21" s="31">
        <f t="shared" si="4"/>
        <v>2.3061126035645505</v>
      </c>
      <c r="N21" s="31">
        <f t="shared" si="5"/>
        <v>-4.8134348833698724</v>
      </c>
      <c r="O21" s="1">
        <v>2.46</v>
      </c>
      <c r="P21" s="2">
        <v>0.01</v>
      </c>
    </row>
    <row r="22" spans="2:16">
      <c r="B22" s="4">
        <v>44013</v>
      </c>
      <c r="C22" s="28">
        <v>7.4367078346291056</v>
      </c>
      <c r="D22" s="28">
        <v>6.9431585248442982</v>
      </c>
      <c r="E22" s="28">
        <v>47.177339912994896</v>
      </c>
      <c r="F22" s="28">
        <v>20.303028282828279</v>
      </c>
      <c r="G22" s="28">
        <v>-8.8100339189364885</v>
      </c>
      <c r="H22" s="28">
        <v>3.647832829772546</v>
      </c>
      <c r="I22" s="32">
        <f t="shared" si="0"/>
        <v>7.4267078346291058</v>
      </c>
      <c r="J22" s="32">
        <f t="shared" si="1"/>
        <v>6.9331585248442984</v>
      </c>
      <c r="K22" s="31">
        <f t="shared" si="2"/>
        <v>47.167339912994898</v>
      </c>
      <c r="L22" s="31">
        <f t="shared" si="3"/>
        <v>20.293028282828278</v>
      </c>
      <c r="M22" s="31">
        <f t="shared" si="4"/>
        <v>-8.8200339189364882</v>
      </c>
      <c r="N22" s="31">
        <f t="shared" si="5"/>
        <v>3.6378328297725462</v>
      </c>
      <c r="O22" s="1">
        <v>5.77</v>
      </c>
      <c r="P22" s="2">
        <v>0.01</v>
      </c>
    </row>
    <row r="23" spans="2:16">
      <c r="B23" s="4">
        <v>44044</v>
      </c>
      <c r="C23" s="28">
        <v>8.3210588659685456</v>
      </c>
      <c r="D23" s="28">
        <v>-3.1154693970979466</v>
      </c>
      <c r="E23" s="28">
        <v>17.293038873821498</v>
      </c>
      <c r="F23" s="28">
        <v>28.614605014518972</v>
      </c>
      <c r="G23" s="28">
        <v>-0.43609193009366259</v>
      </c>
      <c r="H23" s="28">
        <v>5.248387727388959</v>
      </c>
      <c r="I23" s="32">
        <f t="shared" si="0"/>
        <v>8.3110588659685458</v>
      </c>
      <c r="J23" s="32">
        <f t="shared" si="1"/>
        <v>-3.1254693970979464</v>
      </c>
      <c r="K23" s="31">
        <f t="shared" si="2"/>
        <v>17.283038873821496</v>
      </c>
      <c r="L23" s="31">
        <f t="shared" si="3"/>
        <v>28.60460501451897</v>
      </c>
      <c r="M23" s="31">
        <f t="shared" si="4"/>
        <v>-0.4460919300936626</v>
      </c>
      <c r="N23" s="31">
        <f t="shared" si="5"/>
        <v>5.2383877273889592</v>
      </c>
      <c r="O23" s="1">
        <v>7.629999999999999</v>
      </c>
      <c r="P23" s="2">
        <v>0.01</v>
      </c>
    </row>
    <row r="24" spans="2:16">
      <c r="B24" s="4">
        <v>44075</v>
      </c>
      <c r="C24" s="28">
        <v>-5.5763273494082872</v>
      </c>
      <c r="D24" s="28">
        <v>-16.629187842833652</v>
      </c>
      <c r="E24" s="28">
        <v>-9.7225302796740749</v>
      </c>
      <c r="F24" s="28">
        <v>-13.565739055528875</v>
      </c>
      <c r="G24" s="28">
        <v>-15.195417789757407</v>
      </c>
      <c r="H24" s="28">
        <v>-2.3069467982526515</v>
      </c>
      <c r="I24" s="32">
        <f t="shared" si="0"/>
        <v>-5.586327349408287</v>
      </c>
      <c r="J24" s="32">
        <f t="shared" si="1"/>
        <v>-16.639187842833653</v>
      </c>
      <c r="K24" s="31">
        <f t="shared" si="2"/>
        <v>-9.7325302796740747</v>
      </c>
      <c r="L24" s="31">
        <f t="shared" si="3"/>
        <v>-13.575739055528874</v>
      </c>
      <c r="M24" s="31">
        <f t="shared" si="4"/>
        <v>-15.205417789757407</v>
      </c>
      <c r="N24" s="31">
        <f t="shared" si="5"/>
        <v>-2.3169467982526513</v>
      </c>
      <c r="O24" s="1">
        <v>-3.63</v>
      </c>
      <c r="P24" s="2">
        <v>0.01</v>
      </c>
    </row>
    <row r="25" spans="2:16">
      <c r="B25" s="4">
        <v>44105</v>
      </c>
      <c r="C25" s="28">
        <v>-4.8577103470945948</v>
      </c>
      <c r="D25" s="28">
        <v>21.348618439686618</v>
      </c>
      <c r="E25" s="28">
        <v>-8.1717247998957099</v>
      </c>
      <c r="F25" s="28">
        <v>31.495478768677298</v>
      </c>
      <c r="G25" s="28">
        <v>1.5097298371076597</v>
      </c>
      <c r="H25" s="28">
        <v>-7.9057288851307366</v>
      </c>
      <c r="I25" s="32">
        <f t="shared" si="0"/>
        <v>-4.8677103470945946</v>
      </c>
      <c r="J25" s="32">
        <f t="shared" si="1"/>
        <v>21.338618439686616</v>
      </c>
      <c r="K25" s="31">
        <f t="shared" si="2"/>
        <v>-8.1817247998957097</v>
      </c>
      <c r="L25" s="31">
        <f t="shared" si="3"/>
        <v>31.485478768677297</v>
      </c>
      <c r="M25" s="31">
        <f t="shared" si="4"/>
        <v>1.4997298371076597</v>
      </c>
      <c r="N25" s="31">
        <f t="shared" si="5"/>
        <v>-7.9157288851307364</v>
      </c>
      <c r="O25" s="1">
        <v>-2.1</v>
      </c>
      <c r="P25" s="2">
        <v>0.01</v>
      </c>
    </row>
    <row r="26" spans="2:16">
      <c r="B26" s="4">
        <v>44136</v>
      </c>
      <c r="C26" s="28">
        <v>3.1445794582036375</v>
      </c>
      <c r="D26" s="28">
        <v>54.267607659448522</v>
      </c>
      <c r="E26" s="28">
        <v>23.070796612155707</v>
      </c>
      <c r="F26" s="28">
        <v>7.3291174958374246</v>
      </c>
      <c r="G26" s="28">
        <v>32.446189136837162</v>
      </c>
      <c r="H26" s="28">
        <v>5.5211107098600998</v>
      </c>
      <c r="I26" s="32">
        <f t="shared" si="0"/>
        <v>3.1345794582036377</v>
      </c>
      <c r="J26" s="32">
        <f t="shared" si="1"/>
        <v>54.257607659448524</v>
      </c>
      <c r="K26" s="31">
        <f t="shared" si="2"/>
        <v>23.060796612155706</v>
      </c>
      <c r="L26" s="31">
        <f t="shared" si="3"/>
        <v>7.3191174958374248</v>
      </c>
      <c r="M26" s="31">
        <f t="shared" si="4"/>
        <v>32.436189136837164</v>
      </c>
      <c r="N26" s="31">
        <f t="shared" si="5"/>
        <v>5.5111107098601</v>
      </c>
      <c r="O26" s="1">
        <v>12.47</v>
      </c>
      <c r="P26" s="2">
        <v>0.01</v>
      </c>
    </row>
    <row r="27" spans="2:16">
      <c r="B27" s="4">
        <v>44166</v>
      </c>
      <c r="C27" s="28">
        <v>10.19563211259916</v>
      </c>
      <c r="D27" s="28">
        <v>27.995101620850093</v>
      </c>
      <c r="E27" s="28">
        <v>-1.02525896718071</v>
      </c>
      <c r="F27" s="28">
        <v>5.8760548003853152</v>
      </c>
      <c r="G27" s="28">
        <v>3.8416046099290764</v>
      </c>
      <c r="H27" s="28">
        <v>9.5339042191463044</v>
      </c>
      <c r="I27" s="32">
        <f t="shared" si="0"/>
        <v>10.18563211259916</v>
      </c>
      <c r="J27" s="32">
        <f t="shared" si="1"/>
        <v>27.985101620850092</v>
      </c>
      <c r="K27" s="31">
        <f t="shared" si="2"/>
        <v>-1.03525896718071</v>
      </c>
      <c r="L27" s="31">
        <f t="shared" si="3"/>
        <v>5.8660548003853155</v>
      </c>
      <c r="M27" s="31">
        <f t="shared" si="4"/>
        <v>3.8316046099290766</v>
      </c>
      <c r="N27" s="31">
        <f t="shared" si="5"/>
        <v>9.5239042191463046</v>
      </c>
      <c r="O27" s="1">
        <v>4.63</v>
      </c>
      <c r="P27" s="2">
        <v>0.01</v>
      </c>
    </row>
    <row r="28" spans="2:16">
      <c r="B28" s="4">
        <v>44197</v>
      </c>
      <c r="C28" s="28">
        <v>-1.5423529873449975</v>
      </c>
      <c r="D28" s="28">
        <v>-6.7315760311991459</v>
      </c>
      <c r="E28" s="28">
        <v>-6.6186894190239753</v>
      </c>
      <c r="F28" s="28">
        <v>0.23251516846977074</v>
      </c>
      <c r="G28" s="28">
        <v>4.9800798229960108</v>
      </c>
      <c r="H28" s="28">
        <v>3.6535605851929498</v>
      </c>
      <c r="I28" s="32">
        <f t="shared" si="0"/>
        <v>-1.5523529873449975</v>
      </c>
      <c r="J28" s="32">
        <f t="shared" si="1"/>
        <v>-6.7415760311991457</v>
      </c>
      <c r="K28" s="31">
        <f t="shared" si="2"/>
        <v>-6.6286894190239751</v>
      </c>
      <c r="L28" s="31">
        <f t="shared" si="3"/>
        <v>0.22251516846977074</v>
      </c>
      <c r="M28" s="31">
        <f t="shared" si="4"/>
        <v>4.970079822996011</v>
      </c>
      <c r="N28" s="31">
        <f t="shared" si="5"/>
        <v>3.64356058519295</v>
      </c>
      <c r="O28" s="1">
        <v>-0.03</v>
      </c>
      <c r="P28" s="2">
        <v>0.01</v>
      </c>
    </row>
    <row r="29" spans="2:16">
      <c r="B29" s="4">
        <v>44228</v>
      </c>
      <c r="C29" s="28">
        <v>1.2133888348751285</v>
      </c>
      <c r="D29" s="28">
        <v>3.2888762113201748</v>
      </c>
      <c r="E29" s="28">
        <v>-1.3194733923338824</v>
      </c>
      <c r="F29" s="28">
        <v>-18.285430796057874</v>
      </c>
      <c r="G29" s="28">
        <v>11.222553841760725</v>
      </c>
      <c r="H29" s="28">
        <v>-2.8627370344609049</v>
      </c>
      <c r="I29" s="32">
        <f t="shared" si="0"/>
        <v>1.2133888348751285</v>
      </c>
      <c r="J29" s="32">
        <f t="shared" si="1"/>
        <v>3.2888762113201748</v>
      </c>
      <c r="K29" s="31">
        <f t="shared" si="2"/>
        <v>-1.3194733923338824</v>
      </c>
      <c r="L29" s="31">
        <f t="shared" si="3"/>
        <v>-18.285430796057874</v>
      </c>
      <c r="M29" s="31">
        <f t="shared" si="4"/>
        <v>11.222553841760725</v>
      </c>
      <c r="N29" s="31">
        <f t="shared" si="5"/>
        <v>-2.8627370344609049</v>
      </c>
      <c r="O29" s="1">
        <v>2.78</v>
      </c>
      <c r="P29" s="2">
        <v>0</v>
      </c>
    </row>
    <row r="30" spans="2:16">
      <c r="B30" s="4">
        <v>44256</v>
      </c>
      <c r="C30" s="28">
        <v>-3.1901278214031015</v>
      </c>
      <c r="D30" s="28">
        <v>-21.78078881091869</v>
      </c>
      <c r="E30" s="28">
        <v>-7.1115866261605349</v>
      </c>
      <c r="F30" s="28">
        <v>7.7511802425764094</v>
      </c>
      <c r="G30" s="28">
        <v>-4.4357788066238886</v>
      </c>
      <c r="H30" s="28">
        <v>4.3637825302448086</v>
      </c>
      <c r="I30" s="32">
        <f t="shared" si="0"/>
        <v>-3.1901278214031015</v>
      </c>
      <c r="J30" s="32">
        <f t="shared" si="1"/>
        <v>-21.78078881091869</v>
      </c>
      <c r="K30" s="31">
        <f t="shared" si="2"/>
        <v>-7.1115866261605349</v>
      </c>
      <c r="L30" s="31">
        <f t="shared" si="3"/>
        <v>7.7511802425764094</v>
      </c>
      <c r="M30" s="31">
        <f t="shared" si="4"/>
        <v>-4.4357788066238886</v>
      </c>
      <c r="N30" s="31">
        <f t="shared" si="5"/>
        <v>4.3637825302448086</v>
      </c>
      <c r="O30" s="1">
        <v>3.08</v>
      </c>
      <c r="P30" s="2">
        <v>0</v>
      </c>
    </row>
    <row r="31" spans="2:16">
      <c r="B31" s="4">
        <v>44287</v>
      </c>
      <c r="C31" s="28">
        <v>-1.5699885795148114</v>
      </c>
      <c r="D31" s="28">
        <v>3.7337913155877769E-2</v>
      </c>
      <c r="E31" s="28">
        <v>3.9745261146496778</v>
      </c>
      <c r="F31" s="28">
        <v>-12.336773917407539</v>
      </c>
      <c r="G31" s="28">
        <v>-3.0859449907152592</v>
      </c>
      <c r="H31" s="28">
        <v>-0.98571731688941178</v>
      </c>
      <c r="I31" s="32">
        <f t="shared" si="0"/>
        <v>-1.5699885795148114</v>
      </c>
      <c r="J31" s="32">
        <f t="shared" si="1"/>
        <v>3.7337913155877769E-2</v>
      </c>
      <c r="K31" s="31">
        <f t="shared" si="2"/>
        <v>3.9745261146496778</v>
      </c>
      <c r="L31" s="31">
        <f t="shared" si="3"/>
        <v>-12.336773917407539</v>
      </c>
      <c r="M31" s="31">
        <f t="shared" si="4"/>
        <v>-3.0859449907152592</v>
      </c>
      <c r="N31" s="31">
        <f t="shared" si="5"/>
        <v>-0.98571731688941178</v>
      </c>
      <c r="O31" s="1">
        <v>4.93</v>
      </c>
      <c r="P31" s="2">
        <v>0</v>
      </c>
    </row>
    <row r="32" spans="2:16">
      <c r="B32" s="4">
        <v>44317</v>
      </c>
      <c r="C32" s="28">
        <v>-2.0760655154262135</v>
      </c>
      <c r="D32" s="28">
        <v>-6.7572586224207392</v>
      </c>
      <c r="E32" s="28">
        <v>-1.8867936086696833</v>
      </c>
      <c r="F32" s="28">
        <v>-0.54880178425195947</v>
      </c>
      <c r="G32" s="28">
        <v>1.6052657894736762</v>
      </c>
      <c r="H32" s="28">
        <v>4.0066348052262724</v>
      </c>
      <c r="I32" s="32">
        <f t="shared" si="0"/>
        <v>-2.0760655154262135</v>
      </c>
      <c r="J32" s="32">
        <f t="shared" si="1"/>
        <v>-6.7572586224207392</v>
      </c>
      <c r="K32" s="31">
        <f t="shared" si="2"/>
        <v>-1.8867936086696833</v>
      </c>
      <c r="L32" s="31">
        <f t="shared" si="3"/>
        <v>-0.54880178425195947</v>
      </c>
      <c r="M32" s="31">
        <f t="shared" si="4"/>
        <v>1.6052657894736762</v>
      </c>
      <c r="N32" s="31">
        <f t="shared" si="5"/>
        <v>4.0066348052262724</v>
      </c>
      <c r="O32" s="1">
        <v>0.28999999999999998</v>
      </c>
      <c r="P32" s="2">
        <v>0</v>
      </c>
    </row>
    <row r="33" spans="2:16">
      <c r="B33" s="4">
        <v>44348</v>
      </c>
      <c r="C33" s="28">
        <v>5.0516147453376563</v>
      </c>
      <c r="D33" s="28">
        <v>1.7136451404623276</v>
      </c>
      <c r="E33" s="28">
        <v>17.295201865754215</v>
      </c>
      <c r="F33" s="28">
        <v>18.919985298646893</v>
      </c>
      <c r="G33" s="28">
        <v>4.6361071060319423</v>
      </c>
      <c r="H33" s="28">
        <v>-2.0574241522474446</v>
      </c>
      <c r="I33" s="32">
        <f t="shared" si="0"/>
        <v>5.0516147453376563</v>
      </c>
      <c r="J33" s="32">
        <f t="shared" si="1"/>
        <v>1.7136451404623276</v>
      </c>
      <c r="K33" s="31">
        <f t="shared" si="2"/>
        <v>17.295201865754215</v>
      </c>
      <c r="L33" s="31">
        <f t="shared" si="3"/>
        <v>18.919985298646893</v>
      </c>
      <c r="M33" s="31">
        <f t="shared" si="4"/>
        <v>4.6361071060319423</v>
      </c>
      <c r="N33" s="31">
        <f t="shared" si="5"/>
        <v>-2.0574241522474446</v>
      </c>
      <c r="O33" s="1">
        <v>2.75</v>
      </c>
      <c r="P33" s="2">
        <v>0</v>
      </c>
    </row>
    <row r="34" spans="2:16">
      <c r="B34" s="4">
        <v>44378</v>
      </c>
      <c r="C34" s="28">
        <v>-2.0143531089608802</v>
      </c>
      <c r="D34" s="28">
        <v>-27.877497115670696</v>
      </c>
      <c r="E34" s="28">
        <v>13.052275098477589</v>
      </c>
      <c r="F34" s="28">
        <v>-4.9386818044706224</v>
      </c>
      <c r="G34" s="28">
        <v>0.5445470027451963</v>
      </c>
      <c r="H34" s="28">
        <v>4.528340980138168</v>
      </c>
      <c r="I34" s="32">
        <f t="shared" si="0"/>
        <v>-2.0143531089608802</v>
      </c>
      <c r="J34" s="32">
        <f t="shared" si="1"/>
        <v>-27.877497115670696</v>
      </c>
      <c r="K34" s="31">
        <f t="shared" si="2"/>
        <v>13.052275098477589</v>
      </c>
      <c r="L34" s="31">
        <f t="shared" si="3"/>
        <v>-4.9386818044706224</v>
      </c>
      <c r="M34" s="31">
        <f t="shared" si="4"/>
        <v>0.5445470027451963</v>
      </c>
      <c r="N34" s="31">
        <f t="shared" si="5"/>
        <v>4.528340980138168</v>
      </c>
      <c r="O34" s="1">
        <v>1.27</v>
      </c>
      <c r="P34" s="2">
        <v>0</v>
      </c>
    </row>
    <row r="35" spans="2:16">
      <c r="B35" s="4">
        <v>44409</v>
      </c>
      <c r="C35" s="28">
        <v>9.9735290495687501</v>
      </c>
      <c r="D35" s="28">
        <v>9.1802160334001162</v>
      </c>
      <c r="E35" s="28">
        <v>4.2659373902262372</v>
      </c>
      <c r="F35" s="28">
        <v>9.2515096553752905</v>
      </c>
      <c r="G35" s="28">
        <v>-2.1171861673359391</v>
      </c>
      <c r="H35" s="28">
        <v>0.54008395042932644</v>
      </c>
      <c r="I35" s="32">
        <f t="shared" si="0"/>
        <v>9.9735290495687501</v>
      </c>
      <c r="J35" s="32">
        <f t="shared" si="1"/>
        <v>9.1802160334001162</v>
      </c>
      <c r="K35" s="31">
        <f t="shared" si="2"/>
        <v>4.2659373902262372</v>
      </c>
      <c r="L35" s="31">
        <f t="shared" si="3"/>
        <v>9.2515096553752905</v>
      </c>
      <c r="M35" s="31">
        <f t="shared" si="4"/>
        <v>-2.1171861673359391</v>
      </c>
      <c r="N35" s="31">
        <f t="shared" si="5"/>
        <v>0.54008395042932644</v>
      </c>
      <c r="O35" s="1">
        <v>2.91</v>
      </c>
      <c r="P35" s="2">
        <v>0</v>
      </c>
    </row>
    <row r="36" spans="2:16">
      <c r="B36" s="4">
        <v>44440</v>
      </c>
      <c r="C36" s="28">
        <v>7.2295762145168379</v>
      </c>
      <c r="D36" s="28">
        <v>-9.3481296545129844</v>
      </c>
      <c r="E36" s="28">
        <v>-7.0628603047068221</v>
      </c>
      <c r="F36" s="28">
        <v>1.5531904255319109</v>
      </c>
      <c r="G36" s="28">
        <v>12.097591151790292</v>
      </c>
      <c r="H36" s="28">
        <v>-6.1631947207965947</v>
      </c>
      <c r="I36" s="32">
        <f t="shared" si="0"/>
        <v>7.2295762145168379</v>
      </c>
      <c r="J36" s="32">
        <f t="shared" si="1"/>
        <v>-9.3481296545129844</v>
      </c>
      <c r="K36" s="31">
        <f t="shared" si="2"/>
        <v>-7.0628603047068221</v>
      </c>
      <c r="L36" s="31">
        <f t="shared" si="3"/>
        <v>1.5531904255319109</v>
      </c>
      <c r="M36" s="31">
        <f t="shared" si="4"/>
        <v>12.097591151790292</v>
      </c>
      <c r="N36" s="31">
        <f t="shared" si="5"/>
        <v>-6.1631947207965947</v>
      </c>
      <c r="O36" s="1">
        <v>-4.37</v>
      </c>
      <c r="P36" s="2">
        <v>0</v>
      </c>
    </row>
    <row r="37" spans="2:16">
      <c r="B37" s="4">
        <v>44470</v>
      </c>
      <c r="C37" s="28">
        <v>13.102527683310536</v>
      </c>
      <c r="D37" s="28">
        <v>-1.9300761427170208</v>
      </c>
      <c r="E37" s="28">
        <v>16.841594424847528</v>
      </c>
      <c r="F37" s="28">
        <v>25.277600306700197</v>
      </c>
      <c r="G37" s="28">
        <v>3.0289387480367949</v>
      </c>
      <c r="H37" s="28">
        <v>0.8544931700852354</v>
      </c>
      <c r="I37" s="32">
        <f t="shared" si="0"/>
        <v>13.102527683310536</v>
      </c>
      <c r="J37" s="32">
        <f t="shared" si="1"/>
        <v>-1.9300761427170208</v>
      </c>
      <c r="K37" s="31">
        <f t="shared" si="2"/>
        <v>16.841594424847528</v>
      </c>
      <c r="L37" s="31">
        <f t="shared" si="3"/>
        <v>25.277600306700197</v>
      </c>
      <c r="M37" s="31">
        <f t="shared" si="4"/>
        <v>3.0289387480367949</v>
      </c>
      <c r="N37" s="31">
        <f t="shared" si="5"/>
        <v>0.8544931700852354</v>
      </c>
      <c r="O37" s="1">
        <v>6.65</v>
      </c>
      <c r="P37" s="2">
        <v>0</v>
      </c>
    </row>
    <row r="38" spans="2:16">
      <c r="B38" s="4">
        <v>44501</v>
      </c>
      <c r="C38" s="28">
        <v>-7.0127876085027987</v>
      </c>
      <c r="D38" s="28">
        <v>-25.213673531571612</v>
      </c>
      <c r="E38" s="28">
        <v>31.722524368563803</v>
      </c>
      <c r="F38" s="28">
        <v>-13.370681942325676</v>
      </c>
      <c r="G38" s="28">
        <v>-8.4494711868236649</v>
      </c>
      <c r="H38" s="28">
        <v>-4.2669505528855511</v>
      </c>
      <c r="I38" s="32">
        <f t="shared" si="0"/>
        <v>-7.0127876085027987</v>
      </c>
      <c r="J38" s="32">
        <f t="shared" si="1"/>
        <v>-25.213673531571612</v>
      </c>
      <c r="K38" s="31">
        <f t="shared" si="2"/>
        <v>31.722524368563803</v>
      </c>
      <c r="L38" s="31">
        <f t="shared" si="3"/>
        <v>-13.370681942325676</v>
      </c>
      <c r="M38" s="31">
        <f t="shared" si="4"/>
        <v>-8.4494711868236649</v>
      </c>
      <c r="N38" s="31">
        <f t="shared" si="5"/>
        <v>-4.2669505528855511</v>
      </c>
      <c r="O38" s="1">
        <v>-1.55</v>
      </c>
      <c r="P38" s="2">
        <v>0</v>
      </c>
    </row>
    <row r="39" spans="2:16">
      <c r="B39" s="4">
        <v>44531</v>
      </c>
      <c r="C39" s="28">
        <v>-6.1473781780073562</v>
      </c>
      <c r="D39" s="28">
        <v>-12.330828571428572</v>
      </c>
      <c r="E39" s="28">
        <v>-9.1368323905042725</v>
      </c>
      <c r="F39" s="28">
        <v>-15.868720383566028</v>
      </c>
      <c r="G39" s="28">
        <v>3.2350165738578456</v>
      </c>
      <c r="H39" s="28">
        <v>10.428088079123189</v>
      </c>
      <c r="I39" s="32">
        <f t="shared" si="0"/>
        <v>-6.157378178007356</v>
      </c>
      <c r="J39" s="32">
        <f t="shared" si="1"/>
        <v>-12.340828571428572</v>
      </c>
      <c r="K39" s="31">
        <f t="shared" si="2"/>
        <v>-9.1468323905042723</v>
      </c>
      <c r="L39" s="31">
        <f t="shared" si="3"/>
        <v>-15.878720383566028</v>
      </c>
      <c r="M39" s="31">
        <f t="shared" si="4"/>
        <v>3.2250165738578458</v>
      </c>
      <c r="N39" s="31">
        <f t="shared" si="5"/>
        <v>10.418088079123189</v>
      </c>
      <c r="O39" s="1">
        <v>3.1</v>
      </c>
      <c r="P39" s="2">
        <v>0.01</v>
      </c>
    </row>
    <row r="40" spans="2:16">
      <c r="B40" s="4">
        <v>44562</v>
      </c>
      <c r="C40" s="28">
        <v>-29.098331189501597</v>
      </c>
      <c r="D40" s="28">
        <v>2.6415111945370766</v>
      </c>
      <c r="E40" s="28">
        <v>-20.604583207974279</v>
      </c>
      <c r="F40" s="28">
        <v>-10.073435746974035</v>
      </c>
      <c r="G40" s="28">
        <v>18.433178874047059</v>
      </c>
      <c r="H40" s="28">
        <v>0.71316568372252753</v>
      </c>
      <c r="I40" s="32">
        <f t="shared" si="0"/>
        <v>-29.098331189501597</v>
      </c>
      <c r="J40" s="32">
        <f t="shared" si="1"/>
        <v>2.6415111945370766</v>
      </c>
      <c r="K40" s="31">
        <f t="shared" si="2"/>
        <v>-20.604583207974279</v>
      </c>
      <c r="L40" s="31">
        <f t="shared" si="3"/>
        <v>-10.073435746974035</v>
      </c>
      <c r="M40" s="31">
        <f t="shared" si="4"/>
        <v>18.433178874047059</v>
      </c>
      <c r="N40" s="31">
        <f t="shared" si="5"/>
        <v>0.71316568372252753</v>
      </c>
      <c r="O40" s="1">
        <v>-6.25</v>
      </c>
      <c r="P40" s="2">
        <v>0</v>
      </c>
    </row>
    <row r="41" spans="2:16">
      <c r="B41" s="4">
        <v>44593</v>
      </c>
      <c r="C41" s="28">
        <v>-7.6368461990150918</v>
      </c>
      <c r="D41" s="28">
        <v>-13.33555982620322</v>
      </c>
      <c r="E41" s="28">
        <v>7.9562328227571113</v>
      </c>
      <c r="F41" s="28">
        <v>-3.9423272751592462</v>
      </c>
      <c r="G41" s="28">
        <v>1.9260641273905057</v>
      </c>
      <c r="H41" s="28">
        <v>-4.4808107842645768</v>
      </c>
      <c r="I41" s="32">
        <f t="shared" si="0"/>
        <v>-7.6368461990150918</v>
      </c>
      <c r="J41" s="32">
        <f t="shared" si="1"/>
        <v>-13.33555982620322</v>
      </c>
      <c r="K41" s="31">
        <f t="shared" si="2"/>
        <v>7.9562328227571113</v>
      </c>
      <c r="L41" s="31">
        <f t="shared" si="3"/>
        <v>-3.9423272751592462</v>
      </c>
      <c r="M41" s="31">
        <f t="shared" si="4"/>
        <v>1.9260641273905057</v>
      </c>
      <c r="N41" s="31">
        <f t="shared" si="5"/>
        <v>-4.4808107842645768</v>
      </c>
      <c r="O41" s="1">
        <v>-2.29</v>
      </c>
      <c r="P41" s="2">
        <v>0</v>
      </c>
    </row>
    <row r="42" spans="2:16">
      <c r="B42" s="4">
        <v>44621</v>
      </c>
      <c r="C42" s="28">
        <v>-5.0517067716941515</v>
      </c>
      <c r="D42" s="28">
        <v>-22.657153438928781</v>
      </c>
      <c r="E42" s="28">
        <v>-11.350738166069018</v>
      </c>
      <c r="F42" s="28">
        <v>11.223265888919293</v>
      </c>
      <c r="G42" s="28">
        <v>4.8482554847920429</v>
      </c>
      <c r="H42" s="28">
        <v>8.3840651661864172</v>
      </c>
      <c r="I42" s="32">
        <f t="shared" si="0"/>
        <v>-5.0617067716941513</v>
      </c>
      <c r="J42" s="32">
        <f t="shared" si="1"/>
        <v>-22.667153438928782</v>
      </c>
      <c r="K42" s="31">
        <f t="shared" si="2"/>
        <v>-11.360738166069018</v>
      </c>
      <c r="L42" s="31">
        <f t="shared" si="3"/>
        <v>11.213265888919294</v>
      </c>
      <c r="M42" s="31">
        <f t="shared" si="4"/>
        <v>4.8382554847920431</v>
      </c>
      <c r="N42" s="31">
        <f t="shared" si="5"/>
        <v>8.3740651661864174</v>
      </c>
      <c r="O42" s="1">
        <v>3.06</v>
      </c>
      <c r="P42" s="2">
        <v>0.01</v>
      </c>
    </row>
    <row r="43" spans="2:16">
      <c r="B43" s="4">
        <v>44652</v>
      </c>
      <c r="C43" s="28">
        <v>-49.181771261184451</v>
      </c>
      <c r="D43" s="28">
        <v>7.4295660077395826</v>
      </c>
      <c r="E43" s="28">
        <v>-21.785256878919217</v>
      </c>
      <c r="F43" s="28">
        <v>-12.789585927623257</v>
      </c>
      <c r="G43" s="28">
        <v>-2.7307482250136537</v>
      </c>
      <c r="H43" s="28">
        <v>1.82251237781339</v>
      </c>
      <c r="I43" s="32">
        <f t="shared" si="0"/>
        <v>-49.191771261184449</v>
      </c>
      <c r="J43" s="32">
        <f t="shared" si="1"/>
        <v>7.4195660077395829</v>
      </c>
      <c r="K43" s="31">
        <f t="shared" si="2"/>
        <v>-21.795256878919218</v>
      </c>
      <c r="L43" s="31">
        <f t="shared" si="3"/>
        <v>-12.799585927623257</v>
      </c>
      <c r="M43" s="31">
        <f t="shared" si="4"/>
        <v>-2.7407482250136534</v>
      </c>
      <c r="N43" s="31">
        <f t="shared" si="5"/>
        <v>1.81251237781339</v>
      </c>
      <c r="O43" s="1">
        <v>-9.4600000000000009</v>
      </c>
      <c r="P43" s="2">
        <v>0.01</v>
      </c>
    </row>
    <row r="44" spans="2:16">
      <c r="B44" s="4">
        <v>44682</v>
      </c>
      <c r="C44" s="28">
        <v>3.7192692597222567</v>
      </c>
      <c r="D44" s="28">
        <v>16.84845207704803</v>
      </c>
      <c r="E44" s="28">
        <v>19.106647068755152</v>
      </c>
      <c r="F44" s="28">
        <v>-3.3137040026523983</v>
      </c>
      <c r="G44" s="28">
        <v>10.836610518435343</v>
      </c>
      <c r="H44" s="28">
        <v>-0.51539454784553795</v>
      </c>
      <c r="I44" s="32">
        <f t="shared" si="0"/>
        <v>3.6892692597222569</v>
      </c>
      <c r="J44" s="32">
        <f t="shared" si="1"/>
        <v>16.818452077048029</v>
      </c>
      <c r="K44" s="31">
        <f t="shared" si="2"/>
        <v>19.07664706875515</v>
      </c>
      <c r="L44" s="31">
        <f t="shared" si="3"/>
        <v>-3.3437040026523981</v>
      </c>
      <c r="M44" s="31">
        <f t="shared" si="4"/>
        <v>10.806610518435344</v>
      </c>
      <c r="N44" s="31">
        <f t="shared" si="5"/>
        <v>-0.54539454784553798</v>
      </c>
      <c r="O44" s="1">
        <v>-0.34</v>
      </c>
      <c r="P44" s="2">
        <v>0.03</v>
      </c>
    </row>
    <row r="45" spans="2:16">
      <c r="B45" s="4">
        <v>44713</v>
      </c>
      <c r="C45" s="28">
        <v>-11.431324337202957</v>
      </c>
      <c r="D45" s="28">
        <v>22.740817189307535</v>
      </c>
      <c r="E45" s="28">
        <v>-24.926369282089446</v>
      </c>
      <c r="F45" s="28">
        <v>-3.5122560046415998</v>
      </c>
      <c r="G45" s="28">
        <v>-11.702127461970164</v>
      </c>
      <c r="H45" s="28">
        <v>-0.48976871106370945</v>
      </c>
      <c r="I45" s="32">
        <f t="shared" si="0"/>
        <v>-11.491324337202958</v>
      </c>
      <c r="J45" s="32">
        <f t="shared" si="1"/>
        <v>22.680817189307536</v>
      </c>
      <c r="K45" s="31">
        <f t="shared" si="2"/>
        <v>-24.986369282089445</v>
      </c>
      <c r="L45" s="31">
        <f t="shared" si="3"/>
        <v>-3.5722560046415999</v>
      </c>
      <c r="M45" s="31">
        <f t="shared" si="4"/>
        <v>-11.762127461970165</v>
      </c>
      <c r="N45" s="31">
        <f t="shared" si="5"/>
        <v>-0.5497687110637095</v>
      </c>
      <c r="O45" s="1">
        <v>-8.44</v>
      </c>
      <c r="P45" s="2">
        <v>0.06</v>
      </c>
    </row>
    <row r="46" spans="2:16">
      <c r="B46" s="4">
        <v>44743</v>
      </c>
      <c r="C46" s="28">
        <v>28.609824687191193</v>
      </c>
      <c r="D46" s="28">
        <v>-20.695794833265282</v>
      </c>
      <c r="E46" s="28">
        <v>23.538642297127733</v>
      </c>
      <c r="F46" s="28">
        <v>45.559962376044147</v>
      </c>
      <c r="G46" s="28">
        <v>2.0845285506879287</v>
      </c>
      <c r="H46" s="28">
        <v>-1.6844163637726894</v>
      </c>
      <c r="I46" s="32">
        <f t="shared" si="0"/>
        <v>28.529824687191194</v>
      </c>
      <c r="J46" s="32">
        <f t="shared" si="1"/>
        <v>-20.77579483326528</v>
      </c>
      <c r="K46" s="31">
        <f t="shared" si="2"/>
        <v>23.458642297127735</v>
      </c>
      <c r="L46" s="31">
        <f t="shared" si="3"/>
        <v>45.479962376044149</v>
      </c>
      <c r="M46" s="31">
        <f t="shared" si="4"/>
        <v>2.0045285506879287</v>
      </c>
      <c r="N46" s="31">
        <f t="shared" si="5"/>
        <v>-1.7644163637726895</v>
      </c>
      <c r="O46" s="1">
        <v>9.57</v>
      </c>
      <c r="P46" s="2">
        <v>0.08</v>
      </c>
    </row>
    <row r="47" spans="2:16">
      <c r="B47" s="4">
        <v>44774</v>
      </c>
      <c r="C47" s="28">
        <v>-0.59581860193379343</v>
      </c>
      <c r="D47" s="28">
        <v>45.480526238748261</v>
      </c>
      <c r="E47" s="28">
        <v>-10.161953951921731</v>
      </c>
      <c r="F47" s="28">
        <v>28.617531080317249</v>
      </c>
      <c r="G47" s="28">
        <v>-0.74934618303960532</v>
      </c>
      <c r="H47" s="28">
        <v>-7.5521393033546662</v>
      </c>
      <c r="I47" s="32">
        <f t="shared" si="0"/>
        <v>-0.78581860193379338</v>
      </c>
      <c r="J47" s="32">
        <f t="shared" si="1"/>
        <v>45.290526238748264</v>
      </c>
      <c r="K47" s="31">
        <f t="shared" si="2"/>
        <v>-10.351953951921731</v>
      </c>
      <c r="L47" s="31">
        <f t="shared" si="3"/>
        <v>28.427531080317248</v>
      </c>
      <c r="M47" s="31">
        <f t="shared" si="4"/>
        <v>-0.93934618303960526</v>
      </c>
      <c r="N47" s="31">
        <f t="shared" si="5"/>
        <v>-7.7421393033546666</v>
      </c>
      <c r="O47" s="1">
        <v>-3.7699999999999996</v>
      </c>
      <c r="P47" s="2">
        <v>0.19</v>
      </c>
    </row>
    <row r="48" spans="2:16">
      <c r="B48" s="4">
        <v>44805</v>
      </c>
      <c r="C48" s="28">
        <v>5.314011498604498</v>
      </c>
      <c r="D48" s="28">
        <v>-12.230014913183107</v>
      </c>
      <c r="E48" s="28">
        <v>-25.344646211453536</v>
      </c>
      <c r="F48" s="28">
        <v>3.7005103010464029</v>
      </c>
      <c r="G48" s="28">
        <v>-6.0777689694224124</v>
      </c>
      <c r="H48" s="28">
        <v>1.9323139794528377</v>
      </c>
      <c r="I48" s="32">
        <f t="shared" si="0"/>
        <v>5.1240114986044976</v>
      </c>
      <c r="J48" s="32">
        <f t="shared" si="1"/>
        <v>-12.420014913183106</v>
      </c>
      <c r="K48" s="31">
        <f t="shared" si="2"/>
        <v>-25.534646211453538</v>
      </c>
      <c r="L48" s="31">
        <f t="shared" si="3"/>
        <v>3.5105103010464029</v>
      </c>
      <c r="M48" s="31">
        <f t="shared" si="4"/>
        <v>-6.2677689694224128</v>
      </c>
      <c r="N48" s="31">
        <f t="shared" si="5"/>
        <v>1.7423139794528377</v>
      </c>
      <c r="O48" s="1">
        <v>-9.35</v>
      </c>
      <c r="P48" s="2">
        <v>0.19</v>
      </c>
    </row>
    <row r="49" spans="2:16">
      <c r="B49" s="4">
        <v>44835</v>
      </c>
      <c r="C49" s="28">
        <v>23.972138345462636</v>
      </c>
      <c r="D49" s="28">
        <v>-12.384147894402432</v>
      </c>
      <c r="E49" s="28">
        <v>-5.2083332511310996</v>
      </c>
      <c r="F49" s="28">
        <v>10.055192105384682</v>
      </c>
      <c r="G49" s="28">
        <v>11.796630297292207</v>
      </c>
      <c r="H49" s="28">
        <v>6.4948732339200621</v>
      </c>
      <c r="I49" s="32">
        <f t="shared" si="0"/>
        <v>23.742138345462635</v>
      </c>
      <c r="J49" s="32">
        <f t="shared" si="1"/>
        <v>-12.614147894402432</v>
      </c>
      <c r="K49" s="31">
        <f t="shared" si="2"/>
        <v>-5.4383332511311</v>
      </c>
      <c r="L49" s="31">
        <f t="shared" si="3"/>
        <v>9.8251921053846818</v>
      </c>
      <c r="M49" s="31">
        <f t="shared" si="4"/>
        <v>11.566630297292207</v>
      </c>
      <c r="N49" s="31">
        <f t="shared" si="5"/>
        <v>6.2648732339200617</v>
      </c>
      <c r="O49" s="1">
        <v>7.8299999999999992</v>
      </c>
      <c r="P49" s="2">
        <v>0.22999999999999998</v>
      </c>
    </row>
    <row r="50" spans="2:16">
      <c r="B50" s="4">
        <v>44866</v>
      </c>
      <c r="C50" s="28">
        <v>4.6765772804478312</v>
      </c>
      <c r="D50" s="28">
        <v>49.626113455184637</v>
      </c>
      <c r="E50" s="28">
        <v>29.254072106991813</v>
      </c>
      <c r="F50" s="28">
        <v>18.520293126042098</v>
      </c>
      <c r="G50" s="28">
        <v>5.1051589950537721</v>
      </c>
      <c r="H50" s="28">
        <v>2.3164828167857143</v>
      </c>
      <c r="I50" s="32">
        <f t="shared" si="0"/>
        <v>4.3865772804478311</v>
      </c>
      <c r="J50" s="32">
        <f t="shared" si="1"/>
        <v>49.336113455184638</v>
      </c>
      <c r="K50" s="31">
        <f t="shared" si="2"/>
        <v>28.964072106991814</v>
      </c>
      <c r="L50" s="31">
        <f t="shared" si="3"/>
        <v>18.230293126042099</v>
      </c>
      <c r="M50" s="31">
        <f t="shared" si="4"/>
        <v>4.8151589950537721</v>
      </c>
      <c r="N50" s="31">
        <f t="shared" si="5"/>
        <v>2.0264828167857143</v>
      </c>
      <c r="O50" s="1">
        <v>4.6100000000000003</v>
      </c>
      <c r="P50" s="2">
        <v>0.28999999999999998</v>
      </c>
    </row>
    <row r="51" spans="2:16">
      <c r="B51" s="4">
        <v>44896</v>
      </c>
      <c r="C51" s="28">
        <v>-3.4857441281895185</v>
      </c>
      <c r="D51" s="28">
        <v>-0.59726717945798158</v>
      </c>
      <c r="E51" s="28">
        <v>-16.565761299720261</v>
      </c>
      <c r="F51" s="28">
        <v>-13.180320020751864</v>
      </c>
      <c r="G51" s="28">
        <v>-2.5996236942085962</v>
      </c>
      <c r="H51" s="28">
        <v>-0.11785431311566175</v>
      </c>
      <c r="I51" s="32">
        <f t="shared" si="0"/>
        <v>-3.8157441281895186</v>
      </c>
      <c r="J51" s="32">
        <f t="shared" si="1"/>
        <v>-0.92726717945798165</v>
      </c>
      <c r="K51" s="31">
        <f t="shared" si="2"/>
        <v>-16.89576129972026</v>
      </c>
      <c r="L51" s="31">
        <f t="shared" si="3"/>
        <v>-13.510320020751864</v>
      </c>
      <c r="M51" s="31">
        <f t="shared" si="4"/>
        <v>-2.9296236942085963</v>
      </c>
      <c r="N51" s="31">
        <f t="shared" si="5"/>
        <v>-0.44785431311566176</v>
      </c>
      <c r="O51" s="1">
        <v>-6.41</v>
      </c>
      <c r="P51" s="2">
        <v>0.33</v>
      </c>
    </row>
    <row r="52" spans="2:16">
      <c r="B52" s="4">
        <v>44927</v>
      </c>
      <c r="C52" s="28">
        <v>20.00134936242965</v>
      </c>
      <c r="D52" s="28">
        <v>20.147148247192575</v>
      </c>
      <c r="E52" s="28">
        <v>16.025946396137698</v>
      </c>
      <c r="F52" s="28">
        <v>18.566001935790194</v>
      </c>
      <c r="G52" s="28">
        <v>3.2660227696923125</v>
      </c>
      <c r="H52" s="28">
        <v>-7.4893957020915725</v>
      </c>
      <c r="I52" s="32">
        <f t="shared" si="0"/>
        <v>19.651349362429649</v>
      </c>
      <c r="J52" s="32">
        <f t="shared" si="1"/>
        <v>19.797148247192574</v>
      </c>
      <c r="K52" s="31">
        <f t="shared" si="2"/>
        <v>15.675946396137698</v>
      </c>
      <c r="L52" s="31">
        <f t="shared" si="3"/>
        <v>18.216001935790192</v>
      </c>
      <c r="M52" s="31">
        <f t="shared" si="4"/>
        <v>2.9160227696923124</v>
      </c>
      <c r="N52" s="31">
        <f t="shared" si="5"/>
        <v>-7.8393957020915721</v>
      </c>
      <c r="O52" s="1">
        <v>6.64</v>
      </c>
      <c r="P52" s="2">
        <v>0.35</v>
      </c>
    </row>
    <row r="53" spans="2:16">
      <c r="B53" s="4">
        <v>44958</v>
      </c>
      <c r="C53" s="28">
        <v>-8.9668177655068888</v>
      </c>
      <c r="D53" s="28">
        <v>-10.461318316146613</v>
      </c>
      <c r="E53" s="28">
        <v>4.5642048020171613</v>
      </c>
      <c r="F53" s="28">
        <v>-4.763517294025327</v>
      </c>
      <c r="G53" s="28">
        <v>3.3327647792422304</v>
      </c>
      <c r="H53" s="28">
        <v>-6.2171047925762117</v>
      </c>
      <c r="I53" s="32">
        <f t="shared" si="0"/>
        <v>-9.3068177655068887</v>
      </c>
      <c r="J53" s="32">
        <f t="shared" si="1"/>
        <v>-10.801318316146613</v>
      </c>
      <c r="K53" s="31">
        <f t="shared" si="2"/>
        <v>4.2242048020171614</v>
      </c>
      <c r="L53" s="31">
        <f t="shared" si="3"/>
        <v>-5.1035172940253268</v>
      </c>
      <c r="M53" s="31">
        <f t="shared" si="4"/>
        <v>2.9927647792422305</v>
      </c>
      <c r="N53" s="31">
        <f t="shared" si="5"/>
        <v>-6.5571047925762116</v>
      </c>
      <c r="O53" s="1">
        <v>-2.59</v>
      </c>
      <c r="P53" s="2">
        <v>0.34</v>
      </c>
    </row>
    <row r="54" spans="2:16">
      <c r="B54" s="4">
        <v>44986</v>
      </c>
      <c r="C54" s="28">
        <v>7.2486280810755295</v>
      </c>
      <c r="D54" s="28">
        <v>-13.484555563049502</v>
      </c>
      <c r="E54" s="28">
        <v>24.726392855016734</v>
      </c>
      <c r="F54" s="28">
        <v>28.591699944375677</v>
      </c>
      <c r="G54" s="28">
        <v>-5.3151209478361139</v>
      </c>
      <c r="H54" s="28">
        <v>1.8627381608878002</v>
      </c>
      <c r="I54" s="32">
        <f t="shared" si="0"/>
        <v>6.8886280810755292</v>
      </c>
      <c r="J54" s="32">
        <f t="shared" si="1"/>
        <v>-13.844555563049502</v>
      </c>
      <c r="K54" s="31">
        <f t="shared" si="2"/>
        <v>24.366392855016734</v>
      </c>
      <c r="L54" s="31">
        <f t="shared" si="3"/>
        <v>28.231699944375677</v>
      </c>
      <c r="M54" s="31">
        <f t="shared" si="4"/>
        <v>-5.6751209478361142</v>
      </c>
      <c r="N54" s="31">
        <f t="shared" si="5"/>
        <v>1.5027381608878003</v>
      </c>
      <c r="O54" s="1">
        <v>2.5099999999999998</v>
      </c>
      <c r="P54" s="2">
        <v>0.36</v>
      </c>
    </row>
    <row r="55" spans="2:16">
      <c r="B55" s="4">
        <v>45017</v>
      </c>
      <c r="C55" s="28">
        <v>-4.5009892048428721</v>
      </c>
      <c r="D55" s="28">
        <v>-10.210803420005179</v>
      </c>
      <c r="E55" s="28">
        <v>-8.8154257970528374</v>
      </c>
      <c r="F55" s="28">
        <v>-16.055171494252871</v>
      </c>
      <c r="G55" s="28">
        <v>7.7163693479949726</v>
      </c>
      <c r="H55" s="28">
        <v>5.6128991494739822</v>
      </c>
      <c r="I55" s="32">
        <f t="shared" si="0"/>
        <v>-4.8509892048428718</v>
      </c>
      <c r="J55" s="32">
        <f t="shared" si="1"/>
        <v>-10.560803420005179</v>
      </c>
      <c r="K55" s="31">
        <f t="shared" si="2"/>
        <v>-9.165425797052837</v>
      </c>
      <c r="L55" s="31">
        <f t="shared" si="3"/>
        <v>-16.405171494252873</v>
      </c>
      <c r="M55" s="31">
        <f t="shared" si="4"/>
        <v>7.366369347994973</v>
      </c>
      <c r="N55" s="31">
        <f t="shared" si="5"/>
        <v>5.2628991494739825</v>
      </c>
      <c r="O55" s="1">
        <v>0.61</v>
      </c>
      <c r="P55" s="2">
        <v>0.35</v>
      </c>
    </row>
    <row r="56" spans="2:16">
      <c r="B56" s="4">
        <v>45047</v>
      </c>
      <c r="C56" s="28">
        <v>19.792082982889028</v>
      </c>
      <c r="D56" s="28">
        <v>-4.1526073616256198</v>
      </c>
      <c r="E56" s="28">
        <v>32.270331243023456</v>
      </c>
      <c r="F56" s="28">
        <v>11.16223287148391</v>
      </c>
      <c r="G56" s="28">
        <v>-9.648273636656981</v>
      </c>
      <c r="H56" s="28">
        <v>-5.2779515147450606</v>
      </c>
      <c r="I56" s="32">
        <f t="shared" si="0"/>
        <v>19.432082982889028</v>
      </c>
      <c r="J56" s="32">
        <f t="shared" si="1"/>
        <v>-4.5126073616256202</v>
      </c>
      <c r="K56" s="31">
        <f t="shared" si="2"/>
        <v>31.910331243023457</v>
      </c>
      <c r="L56" s="31">
        <f t="shared" si="3"/>
        <v>10.802232871483911</v>
      </c>
      <c r="M56" s="31">
        <f t="shared" si="4"/>
        <v>-10.00827363665698</v>
      </c>
      <c r="N56" s="31">
        <f t="shared" si="5"/>
        <v>-5.637951514745061</v>
      </c>
      <c r="O56" s="1">
        <v>0.35</v>
      </c>
      <c r="P56" s="2">
        <v>0.36</v>
      </c>
    </row>
    <row r="57" spans="2:16">
      <c r="B57" s="4">
        <v>45078</v>
      </c>
      <c r="C57" s="28">
        <v>11.451554219145567</v>
      </c>
      <c r="D57" s="28">
        <v>5.8481307409675605</v>
      </c>
      <c r="E57" s="28">
        <v>-3.6375899131849208</v>
      </c>
      <c r="F57" s="28">
        <v>-6.3411561667910163</v>
      </c>
      <c r="G57" s="28">
        <v>7.8214303571428569</v>
      </c>
      <c r="H57" s="28">
        <v>7.5511713840834993</v>
      </c>
      <c r="I57" s="32">
        <f t="shared" si="0"/>
        <v>11.051554219145567</v>
      </c>
      <c r="J57" s="32">
        <f t="shared" si="1"/>
        <v>5.4481307409675601</v>
      </c>
      <c r="K57" s="31">
        <f t="shared" si="2"/>
        <v>-4.0375899131849211</v>
      </c>
      <c r="L57" s="31">
        <f t="shared" si="3"/>
        <v>-6.7411561667910167</v>
      </c>
      <c r="M57" s="31">
        <f t="shared" si="4"/>
        <v>7.4214303571428566</v>
      </c>
      <c r="N57" s="31">
        <f t="shared" si="5"/>
        <v>7.1511713840834989</v>
      </c>
      <c r="O57" s="1">
        <v>6.47</v>
      </c>
      <c r="P57" s="2">
        <v>0.4</v>
      </c>
    </row>
    <row r="58" spans="2:16">
      <c r="B58" s="4">
        <v>45108</v>
      </c>
      <c r="C58" s="28">
        <v>-0.34506777327674409</v>
      </c>
      <c r="D58" s="28">
        <v>29.910328751957298</v>
      </c>
      <c r="E58" s="28">
        <v>0.43016239381397958</v>
      </c>
      <c r="F58" s="28">
        <v>9.10621198603212</v>
      </c>
      <c r="G58" s="28">
        <v>2.070221893504109</v>
      </c>
      <c r="H58" s="28">
        <v>1.2143488072060338</v>
      </c>
      <c r="I58" s="32">
        <f t="shared" si="0"/>
        <v>-0.79506777327674416</v>
      </c>
      <c r="J58" s="32">
        <f t="shared" si="1"/>
        <v>29.460328751957299</v>
      </c>
      <c r="K58" s="31">
        <f t="shared" si="2"/>
        <v>-1.9837606186020484E-2</v>
      </c>
      <c r="L58" s="31">
        <f t="shared" si="3"/>
        <v>8.6562119860321207</v>
      </c>
      <c r="M58" s="31">
        <f t="shared" si="4"/>
        <v>1.6202218935041088</v>
      </c>
      <c r="N58" s="31">
        <f t="shared" si="5"/>
        <v>0.76434880720603371</v>
      </c>
      <c r="O58" s="1">
        <v>3.2099999999999995</v>
      </c>
      <c r="P58" s="2">
        <v>0.45000000000000007</v>
      </c>
    </row>
    <row r="59" spans="2:16">
      <c r="B59" s="4">
        <v>45139</v>
      </c>
      <c r="C59" s="28">
        <v>-1.2050955618718919</v>
      </c>
      <c r="D59" s="28">
        <v>10.187041861500784</v>
      </c>
      <c r="E59" s="28">
        <v>-7.5874133288913796</v>
      </c>
      <c r="F59" s="28">
        <v>-8.8138859830439547</v>
      </c>
      <c r="G59" s="28">
        <v>0.74638811055674548</v>
      </c>
      <c r="H59" s="28">
        <v>-3.4919070449804801</v>
      </c>
      <c r="I59" s="32">
        <f t="shared" si="0"/>
        <v>-1.6550955618718919</v>
      </c>
      <c r="J59" s="32">
        <f t="shared" si="1"/>
        <v>9.737041861500785</v>
      </c>
      <c r="K59" s="31">
        <f t="shared" si="2"/>
        <v>-8.0374133288913789</v>
      </c>
      <c r="L59" s="31">
        <f t="shared" si="3"/>
        <v>-9.2638859830439539</v>
      </c>
      <c r="M59" s="31">
        <f t="shared" si="4"/>
        <v>0.29638811055674541</v>
      </c>
      <c r="N59" s="31">
        <f t="shared" si="5"/>
        <v>-3.9419070449804803</v>
      </c>
      <c r="O59" s="1">
        <v>-2.39</v>
      </c>
      <c r="P59" s="2">
        <v>0.45000000000000007</v>
      </c>
    </row>
    <row r="60" spans="2:16">
      <c r="B60" s="4">
        <v>45170</v>
      </c>
      <c r="C60" s="28">
        <v>-12.931190717852648</v>
      </c>
      <c r="D60" s="28">
        <v>-0.90936747590818268</v>
      </c>
      <c r="E60" s="28">
        <v>-2.7430958877875939</v>
      </c>
      <c r="F60" s="28">
        <v>-14.556894949156474</v>
      </c>
      <c r="G60" s="28">
        <v>3.6881897245933311</v>
      </c>
      <c r="H60" s="28">
        <v>-2.9683057238378718</v>
      </c>
      <c r="I60" s="32">
        <f t="shared" si="0"/>
        <v>-13.361190717852647</v>
      </c>
      <c r="J60" s="32">
        <f t="shared" si="1"/>
        <v>-1.3393674759081826</v>
      </c>
      <c r="K60" s="31">
        <f t="shared" si="2"/>
        <v>-3.1730958877875941</v>
      </c>
      <c r="L60" s="31">
        <f t="shared" si="3"/>
        <v>-14.986894949156474</v>
      </c>
      <c r="M60" s="31">
        <f t="shared" si="4"/>
        <v>3.2581897245933309</v>
      </c>
      <c r="N60" s="31">
        <f t="shared" si="5"/>
        <v>-3.398305723837872</v>
      </c>
      <c r="O60" s="1">
        <v>-5.24</v>
      </c>
      <c r="P60" s="2">
        <v>0.43</v>
      </c>
    </row>
    <row r="61" spans="2:16">
      <c r="B61" s="4">
        <v>45200</v>
      </c>
      <c r="C61" s="28">
        <v>9.0280708311217506</v>
      </c>
      <c r="D61" s="28">
        <v>3.4159253594371513</v>
      </c>
      <c r="E61" s="28">
        <v>-4.2015172145496926</v>
      </c>
      <c r="F61" s="28">
        <v>-11.844792050121725</v>
      </c>
      <c r="G61" s="28">
        <v>1.1804939972271202</v>
      </c>
      <c r="H61" s="28">
        <v>-4.7576485866718361</v>
      </c>
      <c r="I61" s="32">
        <f t="shared" si="0"/>
        <v>8.5580708311217499</v>
      </c>
      <c r="J61" s="32">
        <f t="shared" si="1"/>
        <v>2.9459253594371515</v>
      </c>
      <c r="K61" s="31">
        <f t="shared" si="2"/>
        <v>-4.6715172145496924</v>
      </c>
      <c r="L61" s="31">
        <f t="shared" si="3"/>
        <v>-12.314792050121726</v>
      </c>
      <c r="M61" s="31">
        <f t="shared" si="4"/>
        <v>0.71049399722712026</v>
      </c>
      <c r="N61" s="31">
        <f t="shared" si="5"/>
        <v>-5.2276485866718359</v>
      </c>
      <c r="O61" s="1">
        <v>-3.18</v>
      </c>
      <c r="P61" s="2">
        <v>0.46999999999999992</v>
      </c>
    </row>
    <row r="62" spans="2:16">
      <c r="B62" s="4">
        <v>45231</v>
      </c>
      <c r="C62" s="28">
        <v>15.127887171765719</v>
      </c>
      <c r="D62" s="28">
        <v>45.375670388003734</v>
      </c>
      <c r="E62" s="28">
        <v>23.005080203045686</v>
      </c>
      <c r="F62" s="28">
        <v>10.761672392313217</v>
      </c>
      <c r="G62" s="28">
        <v>1.013208489610202</v>
      </c>
      <c r="H62" s="28">
        <v>4.2605002701195271</v>
      </c>
      <c r="I62" s="32">
        <f t="shared" si="0"/>
        <v>14.68788717176572</v>
      </c>
      <c r="J62" s="32">
        <f t="shared" si="1"/>
        <v>44.935670388003736</v>
      </c>
      <c r="K62" s="31">
        <f t="shared" si="2"/>
        <v>22.565080203045685</v>
      </c>
      <c r="L62" s="31">
        <f t="shared" si="3"/>
        <v>10.321672392313218</v>
      </c>
      <c r="M62" s="31">
        <f t="shared" si="4"/>
        <v>0.5732084896102021</v>
      </c>
      <c r="N62" s="31">
        <f t="shared" si="5"/>
        <v>3.8205002701195272</v>
      </c>
      <c r="O62" s="1">
        <v>8.83</v>
      </c>
      <c r="P62" s="2">
        <v>0.44</v>
      </c>
    </row>
    <row r="63" spans="2:16">
      <c r="B63" s="4">
        <v>45261</v>
      </c>
      <c r="C63" s="28">
        <v>2.7238019226453023</v>
      </c>
      <c r="D63" s="28">
        <v>-0.76641615889287995</v>
      </c>
      <c r="E63" s="28">
        <v>21.665565478191951</v>
      </c>
      <c r="F63" s="28">
        <v>9.190011466535756</v>
      </c>
      <c r="G63" s="28">
        <v>0</v>
      </c>
      <c r="H63" s="28">
        <v>2.1564678787846292</v>
      </c>
      <c r="I63" s="32">
        <f t="shared" si="0"/>
        <v>2.2938019226453021</v>
      </c>
      <c r="J63" s="32">
        <f t="shared" si="1"/>
        <v>-1.1964161588928799</v>
      </c>
      <c r="K63" s="31">
        <f t="shared" si="2"/>
        <v>21.235565478191951</v>
      </c>
      <c r="L63" s="31">
        <f t="shared" si="3"/>
        <v>8.7600114665357562</v>
      </c>
      <c r="M63" s="31">
        <f t="shared" si="4"/>
        <v>-0.43</v>
      </c>
      <c r="N63" s="31">
        <f t="shared" si="5"/>
        <v>1.7264678787846293</v>
      </c>
      <c r="O63" s="1">
        <v>4.87</v>
      </c>
      <c r="P63" s="2">
        <v>0.43</v>
      </c>
    </row>
    <row r="64" spans="2:16">
      <c r="B64" s="4"/>
      <c r="C64" s="28"/>
      <c r="D64" s="28"/>
      <c r="E64" s="28"/>
      <c r="F64" s="28"/>
      <c r="G64" s="28"/>
      <c r="H64" s="28"/>
      <c r="I64" s="32">
        <f>AVERAGE(I4:I63)</f>
        <v>1.6789805320533011</v>
      </c>
      <c r="J64" s="32"/>
      <c r="K64" s="13"/>
      <c r="L64" s="13"/>
      <c r="M64" s="13"/>
      <c r="N64" s="13"/>
    </row>
    <row r="65" spans="2:19">
      <c r="O65" s="1"/>
    </row>
    <row r="66" spans="2:19">
      <c r="O66" s="1"/>
    </row>
    <row r="67" spans="2:19">
      <c r="D67" s="11"/>
      <c r="E67" s="11"/>
      <c r="M67" t="s">
        <v>57</v>
      </c>
      <c r="O67" s="33">
        <f>AVERAGE(O4:O63)</f>
        <v>1.1849999999999992</v>
      </c>
    </row>
    <row r="68" spans="2:19">
      <c r="D68" s="11"/>
      <c r="E68" s="11"/>
      <c r="M68" t="s">
        <v>58</v>
      </c>
      <c r="O68" s="36">
        <f>_xlfn.VAR.S(O4:O63)</f>
        <v>30.910950847457627</v>
      </c>
    </row>
    <row r="69" spans="2:19">
      <c r="D69" s="30"/>
      <c r="E69" s="30"/>
    </row>
    <row r="70" spans="2:19" ht="36.6" customHeight="1">
      <c r="C70" s="70" t="s">
        <v>142</v>
      </c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</row>
    <row r="71" spans="2:19">
      <c r="D71" s="11"/>
      <c r="E71" s="11"/>
    </row>
    <row r="72" spans="2:19">
      <c r="B72" t="s">
        <v>6</v>
      </c>
      <c r="D72" s="11"/>
      <c r="E72" s="11"/>
      <c r="M72" t="s">
        <v>7</v>
      </c>
    </row>
    <row r="73" spans="2:19">
      <c r="B73" t="s">
        <v>59</v>
      </c>
      <c r="C73"/>
      <c r="D73"/>
      <c r="E73"/>
      <c r="F73"/>
      <c r="G73"/>
      <c r="H73"/>
      <c r="I73"/>
      <c r="J73"/>
      <c r="M73" t="s">
        <v>59</v>
      </c>
      <c r="O73"/>
    </row>
    <row r="74" spans="2:19" ht="15" thickBot="1">
      <c r="C74"/>
      <c r="D74"/>
      <c r="E74"/>
      <c r="F74"/>
      <c r="G74"/>
      <c r="H74"/>
      <c r="I74"/>
      <c r="J74"/>
      <c r="O74"/>
    </row>
    <row r="75" spans="2:19">
      <c r="B75" s="16" t="s">
        <v>10</v>
      </c>
      <c r="C75" s="16"/>
      <c r="D75"/>
      <c r="E75"/>
      <c r="F75"/>
      <c r="G75"/>
      <c r="H75"/>
      <c r="I75"/>
      <c r="J75"/>
      <c r="M75" s="16" t="s">
        <v>10</v>
      </c>
      <c r="N75" s="16"/>
      <c r="O75"/>
    </row>
    <row r="76" spans="2:19">
      <c r="B76" t="s">
        <v>11</v>
      </c>
      <c r="C76">
        <v>0.58545716756825628</v>
      </c>
      <c r="D76"/>
      <c r="E76"/>
      <c r="F76"/>
      <c r="G76"/>
      <c r="H76"/>
      <c r="I76"/>
      <c r="J76"/>
      <c r="M76" t="s">
        <v>11</v>
      </c>
      <c r="N76">
        <v>0.23709709395689202</v>
      </c>
      <c r="O76"/>
    </row>
    <row r="77" spans="2:19">
      <c r="B77" t="s">
        <v>12</v>
      </c>
      <c r="C77">
        <v>0.34276009505704524</v>
      </c>
      <c r="D77"/>
      <c r="E77"/>
      <c r="F77"/>
      <c r="G77"/>
      <c r="H77"/>
      <c r="I77"/>
      <c r="J77"/>
      <c r="M77" t="s">
        <v>12</v>
      </c>
      <c r="N77">
        <v>5.6215031962803287E-2</v>
      </c>
      <c r="O77"/>
    </row>
    <row r="78" spans="2:19">
      <c r="B78" t="s">
        <v>13</v>
      </c>
      <c r="C78">
        <v>0.33142837255802882</v>
      </c>
      <c r="D78"/>
      <c r="E78"/>
      <c r="F78"/>
      <c r="G78"/>
      <c r="H78"/>
      <c r="I78"/>
      <c r="J78"/>
      <c r="M78" t="s">
        <v>13</v>
      </c>
      <c r="N78">
        <v>3.9942877341472303E-2</v>
      </c>
      <c r="O78"/>
    </row>
    <row r="79" spans="2:19">
      <c r="B79" t="s">
        <v>14</v>
      </c>
      <c r="C79" s="17">
        <v>9.9063425608394784</v>
      </c>
      <c r="D79"/>
      <c r="E79"/>
      <c r="F79"/>
      <c r="G79"/>
      <c r="H79"/>
      <c r="I79"/>
      <c r="J79"/>
      <c r="M79" t="s">
        <v>14</v>
      </c>
      <c r="N79" s="17">
        <v>19.876914741776769</v>
      </c>
      <c r="O79"/>
    </row>
    <row r="80" spans="2:19" ht="15" thickBot="1">
      <c r="B80" s="14" t="s">
        <v>15</v>
      </c>
      <c r="C80" s="14">
        <v>60</v>
      </c>
      <c r="D80"/>
      <c r="E80"/>
      <c r="F80"/>
      <c r="G80"/>
      <c r="H80"/>
      <c r="I80"/>
      <c r="J80"/>
      <c r="M80" s="14" t="s">
        <v>15</v>
      </c>
      <c r="N80" s="14">
        <v>60</v>
      </c>
      <c r="O80"/>
    </row>
    <row r="81" spans="2:22">
      <c r="C81"/>
      <c r="D81"/>
      <c r="E81"/>
      <c r="F81"/>
      <c r="G81"/>
      <c r="H81"/>
      <c r="I81"/>
      <c r="J81"/>
      <c r="O81"/>
    </row>
    <row r="82" spans="2:22" ht="15" thickBot="1">
      <c r="B82" t="s">
        <v>16</v>
      </c>
      <c r="C82"/>
      <c r="D82"/>
      <c r="E82"/>
      <c r="F82"/>
      <c r="G82"/>
      <c r="H82"/>
      <c r="I82"/>
      <c r="J82"/>
      <c r="M82" t="s">
        <v>16</v>
      </c>
      <c r="O82"/>
    </row>
    <row r="83" spans="2:22">
      <c r="B83" s="15"/>
      <c r="C83" s="15" t="s">
        <v>20</v>
      </c>
      <c r="D83" s="15" t="s">
        <v>21</v>
      </c>
      <c r="E83" s="15" t="s">
        <v>22</v>
      </c>
      <c r="F83" s="15" t="s">
        <v>23</v>
      </c>
      <c r="G83" s="15" t="s">
        <v>24</v>
      </c>
      <c r="H83"/>
      <c r="I83"/>
      <c r="J83"/>
      <c r="M83" s="15"/>
      <c r="N83" s="15" t="s">
        <v>20</v>
      </c>
      <c r="O83" s="15" t="s">
        <v>21</v>
      </c>
      <c r="P83" s="15" t="s">
        <v>22</v>
      </c>
      <c r="Q83" s="15" t="s">
        <v>23</v>
      </c>
      <c r="R83" s="15" t="s">
        <v>24</v>
      </c>
    </row>
    <row r="84" spans="2:22">
      <c r="B84" t="s">
        <v>17</v>
      </c>
      <c r="C84">
        <v>1</v>
      </c>
      <c r="D84">
        <v>2968.3903261674486</v>
      </c>
      <c r="E84">
        <v>2968.3903261674486</v>
      </c>
      <c r="F84">
        <v>30.247836998019956</v>
      </c>
      <c r="G84">
        <v>8.9517710294862181E-7</v>
      </c>
      <c r="H84"/>
      <c r="I84"/>
      <c r="J84"/>
      <c r="M84" t="s">
        <v>17</v>
      </c>
      <c r="N84">
        <v>1</v>
      </c>
      <c r="O84">
        <v>1364.9141917354973</v>
      </c>
      <c r="P84">
        <v>1364.9141917354973</v>
      </c>
      <c r="Q84">
        <v>3.4546766098886286</v>
      </c>
      <c r="R84">
        <v>6.8149482341324244E-2</v>
      </c>
    </row>
    <row r="85" spans="2:22">
      <c r="B85" t="s">
        <v>18</v>
      </c>
      <c r="C85">
        <v>58</v>
      </c>
      <c r="D85">
        <v>5691.8661300965805</v>
      </c>
      <c r="E85">
        <v>98.135622932699661</v>
      </c>
      <c r="F85"/>
      <c r="G85"/>
      <c r="H85"/>
      <c r="I85"/>
      <c r="J85"/>
      <c r="M85" t="s">
        <v>18</v>
      </c>
      <c r="N85">
        <v>58</v>
      </c>
      <c r="O85">
        <v>22915.32089980803</v>
      </c>
      <c r="P85">
        <v>395.09173965186261</v>
      </c>
    </row>
    <row r="86" spans="2:22" ht="15" thickBot="1">
      <c r="B86" s="14" t="s">
        <v>19</v>
      </c>
      <c r="C86" s="14">
        <v>59</v>
      </c>
      <c r="D86" s="14">
        <v>8660.2564562640291</v>
      </c>
      <c r="E86" s="14"/>
      <c r="F86" s="14"/>
      <c r="G86" s="14"/>
      <c r="H86"/>
      <c r="I86"/>
      <c r="J86"/>
      <c r="M86" s="14" t="s">
        <v>19</v>
      </c>
      <c r="N86" s="14">
        <v>59</v>
      </c>
      <c r="O86" s="14">
        <v>24280.235091543527</v>
      </c>
      <c r="P86" s="14"/>
      <c r="Q86" s="14"/>
      <c r="R86" s="14"/>
    </row>
    <row r="87" spans="2:22" ht="15" thickBot="1">
      <c r="C87"/>
      <c r="D87"/>
      <c r="E87"/>
      <c r="F87"/>
      <c r="G87"/>
      <c r="H87"/>
      <c r="I87"/>
      <c r="J87"/>
      <c r="O87"/>
    </row>
    <row r="88" spans="2:22">
      <c r="B88" s="15"/>
      <c r="C88" s="15" t="s">
        <v>25</v>
      </c>
      <c r="D88" s="15" t="s">
        <v>14</v>
      </c>
      <c r="E88" s="15" t="s">
        <v>26</v>
      </c>
      <c r="F88" s="15" t="s">
        <v>27</v>
      </c>
      <c r="G88" s="15" t="s">
        <v>28</v>
      </c>
      <c r="H88" s="15" t="s">
        <v>29</v>
      </c>
      <c r="I88" s="15" t="s">
        <v>30</v>
      </c>
      <c r="J88" s="15" t="s">
        <v>31</v>
      </c>
      <c r="K88" s="15"/>
      <c r="M88" s="15"/>
      <c r="N88" s="15" t="s">
        <v>25</v>
      </c>
      <c r="O88" s="15" t="s">
        <v>14</v>
      </c>
      <c r="P88" s="15" t="s">
        <v>26</v>
      </c>
      <c r="Q88" s="15" t="s">
        <v>27</v>
      </c>
      <c r="R88" s="15" t="s">
        <v>28</v>
      </c>
      <c r="S88" s="15" t="s">
        <v>29</v>
      </c>
      <c r="T88" s="15" t="s">
        <v>30</v>
      </c>
      <c r="U88" s="15" t="s">
        <v>31</v>
      </c>
      <c r="V88" s="15"/>
    </row>
    <row r="89" spans="2:22">
      <c r="B89" t="s">
        <v>60</v>
      </c>
      <c r="C89">
        <v>0.16717243846601382</v>
      </c>
      <c r="D89">
        <v>1.3081112122731193</v>
      </c>
      <c r="E89">
        <v>0.12779680878624716</v>
      </c>
      <c r="F89">
        <v>0.89875184835908473</v>
      </c>
      <c r="G89">
        <v>-2.4512966463475081</v>
      </c>
      <c r="H89">
        <v>2.7856415232795362</v>
      </c>
      <c r="I89">
        <v>-2.4512966463475081</v>
      </c>
      <c r="J89">
        <v>2.7856415232795362</v>
      </c>
      <c r="M89" t="s">
        <v>60</v>
      </c>
      <c r="N89">
        <v>3.817204118780718</v>
      </c>
      <c r="O89">
        <v>2.6247038076292473</v>
      </c>
      <c r="P89">
        <v>1.4543370980318695</v>
      </c>
      <c r="Q89">
        <v>0.15124336056894</v>
      </c>
      <c r="R89">
        <v>-1.4367113836533179</v>
      </c>
      <c r="S89">
        <v>9.0711196212147538</v>
      </c>
      <c r="T89">
        <v>-1.4367113836533179</v>
      </c>
      <c r="U89">
        <v>9.0711196212147538</v>
      </c>
    </row>
    <row r="90" spans="2:22" ht="15" thickBot="1">
      <c r="B90" s="14" t="s">
        <v>32</v>
      </c>
      <c r="C90" s="35">
        <v>1.2757874207487665</v>
      </c>
      <c r="D90" s="14">
        <v>0.23196964277690429</v>
      </c>
      <c r="E90" s="14">
        <v>5.4998033599411498</v>
      </c>
      <c r="F90" s="14">
        <v>8.9517710294861694E-7</v>
      </c>
      <c r="G90" s="14">
        <v>0.81144973101131268</v>
      </c>
      <c r="H90" s="14">
        <v>1.7401251104862203</v>
      </c>
      <c r="I90" s="14">
        <v>0.81144973101131268</v>
      </c>
      <c r="J90" s="14">
        <v>1.7401251104862203</v>
      </c>
      <c r="K90" s="14"/>
      <c r="M90" s="14" t="s">
        <v>32</v>
      </c>
      <c r="N90" s="35">
        <v>0.86510831566386048</v>
      </c>
      <c r="O90" s="14">
        <v>0.46544330400847861</v>
      </c>
      <c r="P90" s="14">
        <v>1.8586760368306887</v>
      </c>
      <c r="Q90" s="14">
        <v>6.8149482341323966E-2</v>
      </c>
      <c r="R90" s="14">
        <v>-6.6577683848237146E-2</v>
      </c>
      <c r="S90" s="14">
        <v>1.796794315175958</v>
      </c>
      <c r="T90" s="14">
        <v>-6.6577683848237146E-2</v>
      </c>
      <c r="U90" s="14">
        <v>1.796794315175958</v>
      </c>
      <c r="V90" s="14"/>
    </row>
    <row r="91" spans="2:22">
      <c r="C91"/>
      <c r="D91"/>
      <c r="E91"/>
      <c r="F91"/>
      <c r="G91"/>
      <c r="H91"/>
      <c r="I91"/>
      <c r="J91"/>
      <c r="O91"/>
    </row>
    <row r="92" spans="2:22">
      <c r="C92"/>
      <c r="D92"/>
      <c r="E92"/>
      <c r="F92"/>
      <c r="G92"/>
      <c r="H92"/>
      <c r="I92"/>
      <c r="J92"/>
      <c r="O92"/>
    </row>
    <row r="93" spans="2:22">
      <c r="C93"/>
      <c r="D93"/>
      <c r="E93"/>
      <c r="F93"/>
      <c r="G93"/>
      <c r="H93"/>
      <c r="I93"/>
      <c r="J93"/>
      <c r="O93"/>
    </row>
    <row r="94" spans="2:22">
      <c r="B94" t="s">
        <v>33</v>
      </c>
      <c r="M94" t="s">
        <v>8</v>
      </c>
    </row>
    <row r="95" spans="2:22">
      <c r="B95" t="s">
        <v>59</v>
      </c>
      <c r="C95"/>
      <c r="D95"/>
      <c r="E95"/>
      <c r="F95"/>
      <c r="G95"/>
      <c r="H95"/>
      <c r="I95"/>
      <c r="J95"/>
      <c r="M95" t="s">
        <v>59</v>
      </c>
      <c r="O95"/>
    </row>
    <row r="96" spans="2:22" ht="15" thickBot="1">
      <c r="C96"/>
      <c r="D96"/>
      <c r="E96"/>
      <c r="F96"/>
      <c r="G96"/>
      <c r="H96"/>
      <c r="I96"/>
      <c r="J96"/>
      <c r="O96"/>
    </row>
    <row r="97" spans="2:22">
      <c r="B97" s="16" t="s">
        <v>10</v>
      </c>
      <c r="C97" s="16"/>
      <c r="D97"/>
      <c r="E97"/>
      <c r="F97"/>
      <c r="G97"/>
      <c r="H97"/>
      <c r="I97"/>
      <c r="J97"/>
      <c r="M97" s="16" t="s">
        <v>10</v>
      </c>
      <c r="N97" s="16"/>
      <c r="O97"/>
    </row>
    <row r="98" spans="2:22">
      <c r="B98" t="s">
        <v>11</v>
      </c>
      <c r="C98">
        <v>0.58810552107045821</v>
      </c>
      <c r="D98"/>
      <c r="E98"/>
      <c r="F98"/>
      <c r="G98"/>
      <c r="H98"/>
      <c r="I98"/>
      <c r="J98"/>
      <c r="M98" t="s">
        <v>11</v>
      </c>
      <c r="N98">
        <v>0.55690328072700135</v>
      </c>
      <c r="O98"/>
    </row>
    <row r="99" spans="2:22">
      <c r="B99" t="s">
        <v>12</v>
      </c>
      <c r="C99">
        <v>0.34586810391355521</v>
      </c>
      <c r="D99"/>
      <c r="E99"/>
      <c r="F99"/>
      <c r="G99"/>
      <c r="H99"/>
      <c r="I99"/>
      <c r="J99"/>
      <c r="M99" t="s">
        <v>12</v>
      </c>
      <c r="N99">
        <v>0.31014126408449727</v>
      </c>
      <c r="O99"/>
    </row>
    <row r="100" spans="2:22">
      <c r="B100" t="s">
        <v>13</v>
      </c>
      <c r="C100">
        <v>0.33458996777413375</v>
      </c>
      <c r="D100"/>
      <c r="E100"/>
      <c r="F100"/>
      <c r="G100"/>
      <c r="H100"/>
      <c r="I100"/>
      <c r="J100"/>
      <c r="M100" t="s">
        <v>13</v>
      </c>
      <c r="N100">
        <v>0.29824714794802309</v>
      </c>
      <c r="O100"/>
    </row>
    <row r="101" spans="2:22">
      <c r="B101" t="s">
        <v>14</v>
      </c>
      <c r="C101" s="17">
        <v>12.584683571108348</v>
      </c>
      <c r="D101"/>
      <c r="E101"/>
      <c r="F101"/>
      <c r="G101"/>
      <c r="H101"/>
      <c r="I101"/>
      <c r="J101"/>
      <c r="M101" t="s">
        <v>14</v>
      </c>
      <c r="N101" s="17">
        <v>12.185326506217177</v>
      </c>
      <c r="O101"/>
    </row>
    <row r="102" spans="2:22" ht="15" thickBot="1">
      <c r="B102" s="14" t="s">
        <v>15</v>
      </c>
      <c r="C102" s="14">
        <v>60</v>
      </c>
      <c r="D102"/>
      <c r="E102"/>
      <c r="F102"/>
      <c r="G102"/>
      <c r="H102"/>
      <c r="I102"/>
      <c r="J102"/>
      <c r="M102" s="14" t="s">
        <v>15</v>
      </c>
      <c r="N102" s="14">
        <v>60</v>
      </c>
      <c r="O102"/>
    </row>
    <row r="103" spans="2:22">
      <c r="C103"/>
      <c r="D103"/>
      <c r="E103"/>
      <c r="F103"/>
      <c r="G103"/>
      <c r="H103"/>
      <c r="I103"/>
      <c r="J103"/>
      <c r="O103"/>
    </row>
    <row r="104" spans="2:22" ht="15" thickBot="1">
      <c r="B104" t="s">
        <v>16</v>
      </c>
      <c r="C104"/>
      <c r="D104"/>
      <c r="E104"/>
      <c r="F104"/>
      <c r="G104"/>
      <c r="H104"/>
      <c r="I104"/>
      <c r="J104"/>
      <c r="M104" t="s">
        <v>16</v>
      </c>
      <c r="O104"/>
    </row>
    <row r="105" spans="2:22">
      <c r="B105" s="15"/>
      <c r="C105" s="15" t="s">
        <v>20</v>
      </c>
      <c r="D105" s="15" t="s">
        <v>21</v>
      </c>
      <c r="E105" s="15" t="s">
        <v>22</v>
      </c>
      <c r="F105" s="15" t="s">
        <v>23</v>
      </c>
      <c r="G105" s="15" t="s">
        <v>24</v>
      </c>
      <c r="H105"/>
      <c r="I105"/>
      <c r="J105"/>
      <c r="M105" s="15"/>
      <c r="N105" s="15" t="s">
        <v>20</v>
      </c>
      <c r="O105" s="15" t="s">
        <v>21</v>
      </c>
      <c r="P105" s="15" t="s">
        <v>22</v>
      </c>
      <c r="Q105" s="15" t="s">
        <v>23</v>
      </c>
      <c r="R105" s="15" t="s">
        <v>24</v>
      </c>
    </row>
    <row r="106" spans="2:22">
      <c r="B106" t="s">
        <v>17</v>
      </c>
      <c r="C106">
        <v>1</v>
      </c>
      <c r="D106">
        <v>4856.8845543328389</v>
      </c>
      <c r="E106">
        <v>4856.8845543328389</v>
      </c>
      <c r="F106">
        <v>30.667133260132584</v>
      </c>
      <c r="G106">
        <v>7.7698980618431988E-7</v>
      </c>
      <c r="H106"/>
      <c r="I106"/>
      <c r="J106"/>
      <c r="M106" t="s">
        <v>17</v>
      </c>
      <c r="N106">
        <v>1</v>
      </c>
      <c r="O106">
        <v>3871.7001844183324</v>
      </c>
      <c r="P106">
        <v>3871.7001844183324</v>
      </c>
      <c r="Q106">
        <v>26.075183773717008</v>
      </c>
      <c r="R106">
        <v>3.8172853686157465E-6</v>
      </c>
    </row>
    <row r="107" spans="2:22">
      <c r="B107" t="s">
        <v>18</v>
      </c>
      <c r="C107">
        <v>58</v>
      </c>
      <c r="D107">
        <v>9185.7071139256132</v>
      </c>
      <c r="E107">
        <v>158.37426058492437</v>
      </c>
      <c r="F107"/>
      <c r="G107"/>
      <c r="H107"/>
      <c r="I107"/>
      <c r="J107"/>
      <c r="M107" t="s">
        <v>18</v>
      </c>
      <c r="N107">
        <v>58</v>
      </c>
      <c r="O107">
        <v>8611.9665596608957</v>
      </c>
      <c r="P107">
        <v>148.4821820631189</v>
      </c>
    </row>
    <row r="108" spans="2:22" ht="15" thickBot="1">
      <c r="B108" s="14" t="s">
        <v>19</v>
      </c>
      <c r="C108" s="14">
        <v>59</v>
      </c>
      <c r="D108" s="14">
        <v>14042.591668258452</v>
      </c>
      <c r="E108" s="14"/>
      <c r="F108" s="14"/>
      <c r="G108" s="14"/>
      <c r="H108"/>
      <c r="I108"/>
      <c r="J108"/>
      <c r="M108" s="14" t="s">
        <v>19</v>
      </c>
      <c r="N108" s="14">
        <v>59</v>
      </c>
      <c r="O108" s="14">
        <v>12483.666744079228</v>
      </c>
      <c r="P108" s="14"/>
      <c r="Q108" s="14"/>
      <c r="R108" s="14"/>
    </row>
    <row r="109" spans="2:22" ht="15" thickBot="1">
      <c r="C109"/>
      <c r="D109"/>
      <c r="E109"/>
      <c r="F109"/>
      <c r="G109"/>
      <c r="H109"/>
      <c r="I109"/>
      <c r="J109"/>
      <c r="O109"/>
    </row>
    <row r="110" spans="2:22">
      <c r="B110" s="15"/>
      <c r="C110" s="15" t="s">
        <v>25</v>
      </c>
      <c r="D110" s="15" t="s">
        <v>14</v>
      </c>
      <c r="E110" s="15" t="s">
        <v>26</v>
      </c>
      <c r="F110" s="15" t="s">
        <v>27</v>
      </c>
      <c r="G110" s="15" t="s">
        <v>28</v>
      </c>
      <c r="H110" s="15" t="s">
        <v>29</v>
      </c>
      <c r="I110" s="15" t="s">
        <v>30</v>
      </c>
      <c r="J110" s="15" t="s">
        <v>31</v>
      </c>
      <c r="K110" s="15" t="s">
        <v>31</v>
      </c>
      <c r="M110" s="15"/>
      <c r="N110" s="15" t="s">
        <v>25</v>
      </c>
      <c r="O110" s="15" t="s">
        <v>14</v>
      </c>
      <c r="P110" s="15" t="s">
        <v>26</v>
      </c>
      <c r="Q110" s="15" t="s">
        <v>27</v>
      </c>
      <c r="R110" s="15" t="s">
        <v>28</v>
      </c>
      <c r="S110" s="15" t="s">
        <v>29</v>
      </c>
      <c r="T110" s="15" t="s">
        <v>30</v>
      </c>
      <c r="U110" s="15" t="s">
        <v>31</v>
      </c>
      <c r="V110" s="15" t="s">
        <v>31</v>
      </c>
    </row>
    <row r="111" spans="2:22">
      <c r="B111" t="s">
        <v>60</v>
      </c>
      <c r="C111">
        <v>2.5488074548015085</v>
      </c>
      <c r="D111">
        <v>1.6617803776897779</v>
      </c>
      <c r="E111">
        <v>1.5337811717002481</v>
      </c>
      <c r="F111">
        <v>0.13052066015780275</v>
      </c>
      <c r="G111">
        <v>-0.77760738202959256</v>
      </c>
      <c r="H111">
        <v>5.8752222916326096</v>
      </c>
      <c r="I111">
        <v>-0.77760738202959256</v>
      </c>
      <c r="J111">
        <v>5.8752222916326096</v>
      </c>
      <c r="K111">
        <v>5.6740686731650829</v>
      </c>
      <c r="M111" t="s">
        <v>60</v>
      </c>
      <c r="N111">
        <v>1.4600748379673365</v>
      </c>
      <c r="O111">
        <v>1.6090461368661539</v>
      </c>
      <c r="P111">
        <v>0.90741639068910718</v>
      </c>
      <c r="Q111">
        <v>0.3679414500433752</v>
      </c>
      <c r="R111">
        <v>-1.7607809469939908</v>
      </c>
      <c r="S111">
        <v>4.6809306229286634</v>
      </c>
      <c r="T111">
        <v>-1.7607809469939908</v>
      </c>
      <c r="U111">
        <v>4.6809306229286634</v>
      </c>
      <c r="V111">
        <v>4.6530812968352713</v>
      </c>
    </row>
    <row r="112" spans="2:22" ht="15" thickBot="1">
      <c r="B112" s="14" t="s">
        <v>32</v>
      </c>
      <c r="C112" s="35">
        <v>1.6319118732950366</v>
      </c>
      <c r="D112" s="14">
        <v>0.29468641272213353</v>
      </c>
      <c r="E112" s="14">
        <v>5.5377913702244665</v>
      </c>
      <c r="F112" s="14">
        <v>7.7698980618431988E-7</v>
      </c>
      <c r="G112" s="14">
        <v>1.042032928609103</v>
      </c>
      <c r="H112" s="14">
        <v>2.2217908179809704</v>
      </c>
      <c r="I112" s="14">
        <v>1.042032928609103</v>
      </c>
      <c r="J112" s="14">
        <v>2.2217908179809704</v>
      </c>
      <c r="K112" s="14">
        <v>2.1620545730726461</v>
      </c>
      <c r="M112" s="14" t="s">
        <v>32</v>
      </c>
      <c r="N112" s="35">
        <v>1.4570305957757153</v>
      </c>
      <c r="O112" s="14">
        <v>0.28533495782197232</v>
      </c>
      <c r="P112" s="14">
        <v>5.1063865672035647</v>
      </c>
      <c r="Q112" s="14">
        <v>3.8172853686157465E-6</v>
      </c>
      <c r="R112" s="14">
        <v>0.88587062186563004</v>
      </c>
      <c r="S112" s="14">
        <v>2.0281905696858002</v>
      </c>
      <c r="T112" s="14">
        <v>0.88587062186563004</v>
      </c>
      <c r="U112" s="14">
        <v>2.0281905696858002</v>
      </c>
      <c r="V112" s="14">
        <v>2.0192645040013772</v>
      </c>
    </row>
    <row r="113" spans="2:18">
      <c r="C113"/>
      <c r="D113"/>
      <c r="E113"/>
      <c r="F113"/>
      <c r="G113"/>
      <c r="H113"/>
      <c r="I113"/>
      <c r="J113"/>
      <c r="O113"/>
    </row>
    <row r="114" spans="2:18">
      <c r="C114"/>
      <c r="D114"/>
      <c r="E114"/>
      <c r="F114"/>
      <c r="G114"/>
      <c r="H114"/>
      <c r="I114"/>
      <c r="J114"/>
      <c r="O114"/>
    </row>
    <row r="115" spans="2:18">
      <c r="C115"/>
      <c r="D115"/>
      <c r="E115"/>
      <c r="F115"/>
      <c r="G115"/>
      <c r="H115"/>
      <c r="I115"/>
      <c r="J115"/>
      <c r="O115"/>
    </row>
    <row r="117" spans="2:18">
      <c r="B117" t="s">
        <v>9</v>
      </c>
      <c r="M117" t="s">
        <v>72</v>
      </c>
    </row>
    <row r="118" spans="2:18">
      <c r="B118" t="s">
        <v>59</v>
      </c>
      <c r="C118"/>
      <c r="D118"/>
      <c r="E118"/>
      <c r="F118"/>
      <c r="G118"/>
      <c r="H118"/>
      <c r="I118"/>
      <c r="J118"/>
      <c r="M118" t="s">
        <v>59</v>
      </c>
      <c r="O118"/>
    </row>
    <row r="119" spans="2:18" ht="15" thickBot="1">
      <c r="C119"/>
      <c r="D119"/>
      <c r="E119"/>
      <c r="F119"/>
      <c r="G119"/>
      <c r="H119"/>
      <c r="I119"/>
      <c r="J119"/>
      <c r="O119"/>
    </row>
    <row r="120" spans="2:18">
      <c r="B120" s="16" t="s">
        <v>10</v>
      </c>
      <c r="C120" s="16"/>
      <c r="D120"/>
      <c r="E120"/>
      <c r="F120"/>
      <c r="G120"/>
      <c r="H120"/>
      <c r="I120"/>
      <c r="J120"/>
      <c r="M120" s="16" t="s">
        <v>10</v>
      </c>
      <c r="N120" s="16"/>
      <c r="O120"/>
    </row>
    <row r="121" spans="2:18">
      <c r="B121" t="s">
        <v>11</v>
      </c>
      <c r="C121">
        <v>0.41471406175626685</v>
      </c>
      <c r="D121"/>
      <c r="E121"/>
      <c r="F121"/>
      <c r="G121"/>
      <c r="H121"/>
      <c r="I121"/>
      <c r="J121"/>
      <c r="M121" t="s">
        <v>11</v>
      </c>
      <c r="N121">
        <v>0.52518241555002854</v>
      </c>
      <c r="O121"/>
    </row>
    <row r="122" spans="2:18">
      <c r="B122" t="s">
        <v>12</v>
      </c>
      <c r="C122">
        <v>0.17198775301838073</v>
      </c>
      <c r="D122"/>
      <c r="E122"/>
      <c r="F122"/>
      <c r="G122"/>
      <c r="H122"/>
      <c r="I122"/>
      <c r="J122"/>
      <c r="M122" t="s">
        <v>12</v>
      </c>
      <c r="N122">
        <v>0.27581656960296286</v>
      </c>
      <c r="O122"/>
    </row>
    <row r="123" spans="2:18">
      <c r="B123" t="s">
        <v>13</v>
      </c>
      <c r="C123">
        <v>0.15771167979455972</v>
      </c>
      <c r="D123"/>
      <c r="E123"/>
      <c r="F123"/>
      <c r="G123"/>
      <c r="H123"/>
      <c r="I123"/>
      <c r="J123"/>
      <c r="M123" t="s">
        <v>13</v>
      </c>
      <c r="N123">
        <v>0.26333064838922082</v>
      </c>
      <c r="O123"/>
    </row>
    <row r="124" spans="2:18">
      <c r="B124" t="s">
        <v>14</v>
      </c>
      <c r="C124" s="17">
        <v>7.6067650154928508</v>
      </c>
      <c r="D124"/>
      <c r="E124"/>
      <c r="F124"/>
      <c r="G124"/>
      <c r="H124"/>
      <c r="I124"/>
      <c r="J124"/>
      <c r="M124" t="s">
        <v>14</v>
      </c>
      <c r="N124" s="17">
        <v>4.3658231208742215</v>
      </c>
      <c r="O124"/>
    </row>
    <row r="125" spans="2:18" ht="15" thickBot="1">
      <c r="B125" s="14" t="s">
        <v>15</v>
      </c>
      <c r="C125" s="14">
        <v>60</v>
      </c>
      <c r="D125"/>
      <c r="E125"/>
      <c r="F125"/>
      <c r="G125"/>
      <c r="H125"/>
      <c r="I125"/>
      <c r="J125"/>
      <c r="M125" s="14" t="s">
        <v>15</v>
      </c>
      <c r="N125" s="14">
        <v>60</v>
      </c>
      <c r="O125"/>
    </row>
    <row r="126" spans="2:18">
      <c r="C126"/>
      <c r="D126"/>
      <c r="E126"/>
      <c r="F126"/>
      <c r="G126"/>
      <c r="H126"/>
      <c r="I126"/>
      <c r="J126"/>
      <c r="O126"/>
    </row>
    <row r="127" spans="2:18" ht="15" thickBot="1">
      <c r="B127" t="s">
        <v>16</v>
      </c>
      <c r="C127"/>
      <c r="D127"/>
      <c r="E127"/>
      <c r="F127"/>
      <c r="G127"/>
      <c r="H127"/>
      <c r="I127"/>
      <c r="J127"/>
      <c r="M127" t="s">
        <v>16</v>
      </c>
      <c r="O127"/>
    </row>
    <row r="128" spans="2:18">
      <c r="B128" s="15"/>
      <c r="C128" s="15" t="s">
        <v>20</v>
      </c>
      <c r="D128" s="15" t="s">
        <v>21</v>
      </c>
      <c r="E128" s="15" t="s">
        <v>22</v>
      </c>
      <c r="F128" s="15" t="s">
        <v>23</v>
      </c>
      <c r="G128" s="15" t="s">
        <v>24</v>
      </c>
      <c r="H128"/>
      <c r="I128"/>
      <c r="J128"/>
      <c r="M128" s="15"/>
      <c r="N128" s="15" t="s">
        <v>20</v>
      </c>
      <c r="O128" s="15" t="s">
        <v>21</v>
      </c>
      <c r="P128" s="15" t="s">
        <v>22</v>
      </c>
      <c r="Q128" s="15" t="s">
        <v>23</v>
      </c>
      <c r="R128" s="15" t="s">
        <v>24</v>
      </c>
    </row>
    <row r="129" spans="2:21">
      <c r="B129" t="s">
        <v>17</v>
      </c>
      <c r="C129">
        <v>1</v>
      </c>
      <c r="D129">
        <v>697.08984582676021</v>
      </c>
      <c r="E129">
        <v>697.08984582676021</v>
      </c>
      <c r="F129">
        <v>12.047273106683312</v>
      </c>
      <c r="G129">
        <v>9.8597753623757721E-4</v>
      </c>
      <c r="H129"/>
      <c r="I129"/>
      <c r="J129"/>
      <c r="M129" t="s">
        <v>17</v>
      </c>
      <c r="N129">
        <v>1</v>
      </c>
      <c r="O129">
        <v>421.04841376400577</v>
      </c>
      <c r="P129">
        <v>421.04841376400577</v>
      </c>
      <c r="Q129">
        <v>22.090205831140338</v>
      </c>
      <c r="R129">
        <v>1.6456219309883912E-5</v>
      </c>
    </row>
    <row r="130" spans="2:21">
      <c r="B130" t="s">
        <v>18</v>
      </c>
      <c r="C130">
        <v>58</v>
      </c>
      <c r="D130">
        <v>3356.0466920537051</v>
      </c>
      <c r="E130">
        <v>57.862874000925949</v>
      </c>
      <c r="F130"/>
      <c r="G130"/>
      <c r="H130"/>
      <c r="I130"/>
      <c r="J130"/>
      <c r="M130" t="s">
        <v>18</v>
      </c>
      <c r="N130">
        <v>58</v>
      </c>
      <c r="O130">
        <v>1105.5038683200755</v>
      </c>
      <c r="P130">
        <v>19.060411522759924</v>
      </c>
    </row>
    <row r="131" spans="2:21" ht="15" thickBot="1">
      <c r="B131" s="14" t="s">
        <v>19</v>
      </c>
      <c r="C131" s="14">
        <v>59</v>
      </c>
      <c r="D131" s="14">
        <v>4053.1365378804653</v>
      </c>
      <c r="E131" s="14"/>
      <c r="F131" s="14"/>
      <c r="G131" s="14"/>
      <c r="H131"/>
      <c r="I131"/>
      <c r="J131"/>
      <c r="M131" s="14" t="s">
        <v>19</v>
      </c>
      <c r="N131" s="14">
        <v>59</v>
      </c>
      <c r="O131" s="14">
        <v>1526.5522820840813</v>
      </c>
      <c r="P131" s="14"/>
      <c r="Q131" s="14"/>
      <c r="R131" s="14"/>
    </row>
    <row r="132" spans="2:21" ht="15" thickBot="1">
      <c r="C132"/>
      <c r="D132"/>
      <c r="E132"/>
      <c r="F132"/>
      <c r="G132"/>
      <c r="H132"/>
      <c r="I132"/>
      <c r="J132"/>
      <c r="O132"/>
    </row>
    <row r="133" spans="2:21">
      <c r="B133" s="15"/>
      <c r="C133" s="15" t="s">
        <v>25</v>
      </c>
      <c r="D133" s="15" t="s">
        <v>14</v>
      </c>
      <c r="E133" s="15" t="s">
        <v>26</v>
      </c>
      <c r="F133" s="15" t="s">
        <v>27</v>
      </c>
      <c r="G133" s="15" t="s">
        <v>28</v>
      </c>
      <c r="H133" s="15" t="s">
        <v>29</v>
      </c>
      <c r="I133" s="15" t="s">
        <v>30</v>
      </c>
      <c r="J133" s="15" t="s">
        <v>31</v>
      </c>
      <c r="K133" s="15" t="s">
        <v>31</v>
      </c>
      <c r="M133" s="15"/>
      <c r="N133" s="15" t="s">
        <v>25</v>
      </c>
      <c r="O133" s="15" t="s">
        <v>14</v>
      </c>
      <c r="P133" s="15" t="s">
        <v>26</v>
      </c>
      <c r="Q133" s="15" t="s">
        <v>27</v>
      </c>
      <c r="R133" s="15" t="s">
        <v>28</v>
      </c>
      <c r="S133" s="15" t="s">
        <v>29</v>
      </c>
      <c r="T133" s="15" t="s">
        <v>30</v>
      </c>
      <c r="U133" s="15" t="s">
        <v>31</v>
      </c>
    </row>
    <row r="134" spans="2:21">
      <c r="B134" t="s">
        <v>60</v>
      </c>
      <c r="C134">
        <v>-0.34649410354568205</v>
      </c>
      <c r="D134">
        <v>1.0044569471308378</v>
      </c>
      <c r="E134">
        <v>-0.34495664999422687</v>
      </c>
      <c r="F134">
        <v>0.73137479619618451</v>
      </c>
      <c r="G134">
        <v>-2.3571331366886263</v>
      </c>
      <c r="H134">
        <v>1.6641449295972621</v>
      </c>
      <c r="I134">
        <v>-2.3571331366886263</v>
      </c>
      <c r="J134">
        <v>1.6641449295972621</v>
      </c>
      <c r="K134">
        <v>1.6798871829427713</v>
      </c>
      <c r="M134" t="s">
        <v>60</v>
      </c>
      <c r="N134">
        <v>-4.0982384939627026E-2</v>
      </c>
      <c r="O134">
        <v>0.57649754590485647</v>
      </c>
      <c r="P134">
        <v>-7.1088567905873867E-2</v>
      </c>
      <c r="Q134">
        <v>0.94357182553517005</v>
      </c>
      <c r="R134">
        <v>-1.1949676021441986</v>
      </c>
      <c r="S134">
        <v>1.1130028322649443</v>
      </c>
      <c r="T134">
        <v>-1.1949676021441986</v>
      </c>
      <c r="U134">
        <v>1.1130028322649443</v>
      </c>
    </row>
    <row r="135" spans="2:21" ht="15" thickBot="1">
      <c r="B135" s="14" t="s">
        <v>32</v>
      </c>
      <c r="C135" s="35">
        <v>0.61824724565782996</v>
      </c>
      <c r="D135" s="14">
        <v>0.17812210232937875</v>
      </c>
      <c r="E135" s="14">
        <v>3.4709181936028557</v>
      </c>
      <c r="F135" s="14">
        <v>9.8597753623758111E-4</v>
      </c>
      <c r="G135" s="14">
        <v>0.26169711911240612</v>
      </c>
      <c r="H135" s="14">
        <v>0.97479737220325446</v>
      </c>
      <c r="I135" s="14">
        <v>0.26169711911240612</v>
      </c>
      <c r="J135" s="14">
        <v>0.97479737220325446</v>
      </c>
      <c r="K135" s="14">
        <v>0.97968929381089587</v>
      </c>
      <c r="M135" s="14" t="s">
        <v>32</v>
      </c>
      <c r="N135" s="35">
        <v>0.48048942044218201</v>
      </c>
      <c r="O135" s="14">
        <v>0.10223131529690627</v>
      </c>
      <c r="P135" s="14">
        <v>4.7000218968788188</v>
      </c>
      <c r="Q135" s="14">
        <v>1.6456219309883818E-5</v>
      </c>
      <c r="R135" s="14">
        <v>0.27585120918520051</v>
      </c>
      <c r="S135" s="14">
        <v>0.68512763169916346</v>
      </c>
      <c r="T135" s="14">
        <v>0.27585120918520051</v>
      </c>
      <c r="U135" s="14">
        <v>0.68512763169916346</v>
      </c>
    </row>
    <row r="136" spans="2:21">
      <c r="C136"/>
      <c r="D136"/>
      <c r="E136"/>
      <c r="F136"/>
      <c r="G136"/>
      <c r="H136"/>
      <c r="I136"/>
      <c r="J136"/>
      <c r="O136"/>
    </row>
    <row r="137" spans="2:21">
      <c r="C137"/>
      <c r="D137"/>
      <c r="E137"/>
      <c r="F137"/>
      <c r="G137"/>
      <c r="H137"/>
      <c r="I137"/>
      <c r="J137"/>
      <c r="O137"/>
    </row>
    <row r="138" spans="2:21">
      <c r="C138"/>
      <c r="D138"/>
      <c r="E138"/>
      <c r="F138"/>
      <c r="G138"/>
      <c r="H138"/>
      <c r="I138"/>
      <c r="J138"/>
      <c r="O138"/>
    </row>
  </sheetData>
  <mergeCells count="2">
    <mergeCell ref="I2:N2"/>
    <mergeCell ref="C70:S7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AF73-F900-483F-B340-D6619E5E7B7B}">
  <dimension ref="C3:I52"/>
  <sheetViews>
    <sheetView topLeftCell="A26" workbookViewId="0">
      <selection activeCell="E33" sqref="E33"/>
    </sheetView>
  </sheetViews>
  <sheetFormatPr defaultRowHeight="14.4"/>
  <cols>
    <col min="3" max="3" width="26.6640625" customWidth="1"/>
    <col min="4" max="4" width="30.21875" customWidth="1"/>
    <col min="5" max="5" width="25.109375" customWidth="1"/>
    <col min="6" max="6" width="21.88671875" customWidth="1"/>
    <col min="7" max="7" width="18.33203125" customWidth="1"/>
    <col min="8" max="8" width="16.5546875" customWidth="1"/>
    <col min="9" max="9" width="18" customWidth="1"/>
  </cols>
  <sheetData>
    <row r="3" spans="3:9">
      <c r="C3" s="71" t="s">
        <v>89</v>
      </c>
      <c r="D3" s="71"/>
      <c r="E3" s="71"/>
    </row>
    <row r="4" spans="3:9">
      <c r="C4" s="41" t="s">
        <v>56</v>
      </c>
      <c r="D4" s="40">
        <f>'CAPM Regression'!O67</f>
        <v>1.1849999999999992</v>
      </c>
    </row>
    <row r="5" spans="3:9">
      <c r="C5" s="41" t="s">
        <v>49</v>
      </c>
      <c r="D5" s="29">
        <f>'CAPM Regression'!O68</f>
        <v>30.910950847457627</v>
      </c>
    </row>
    <row r="6" spans="3:9">
      <c r="C6" s="2" t="s">
        <v>150</v>
      </c>
      <c r="D6" s="23">
        <f>D4/D5</f>
        <v>3.8335928449689326E-2</v>
      </c>
    </row>
    <row r="10" spans="3:9">
      <c r="C10" s="20" t="s">
        <v>35</v>
      </c>
      <c r="D10" s="20" t="s">
        <v>39</v>
      </c>
      <c r="E10" s="20" t="s">
        <v>36</v>
      </c>
      <c r="F10" s="21" t="s">
        <v>37</v>
      </c>
      <c r="G10" s="21" t="s">
        <v>73</v>
      </c>
      <c r="H10" s="21" t="s">
        <v>74</v>
      </c>
      <c r="I10" s="21" t="s">
        <v>38</v>
      </c>
    </row>
    <row r="11" spans="3:9">
      <c r="C11" s="2" t="s">
        <v>6</v>
      </c>
      <c r="D11" s="29">
        <f>G11*$D$4</f>
        <v>1.5118080935872873</v>
      </c>
      <c r="E11" s="1">
        <v>2.08</v>
      </c>
      <c r="F11" s="27">
        <f>E11-D11</f>
        <v>0.56819190641271278</v>
      </c>
      <c r="G11" s="23">
        <f>'CAPM Regression'!C90</f>
        <v>1.2757874207487665</v>
      </c>
      <c r="H11" s="23">
        <f>'CAPM Regression'!C79</f>
        <v>9.9063425608394784</v>
      </c>
      <c r="I11" s="23">
        <f>H11^2</f>
        <v>98.135622932699675</v>
      </c>
    </row>
    <row r="12" spans="3:9">
      <c r="C12" s="2" t="s">
        <v>7</v>
      </c>
      <c r="D12" s="29">
        <f t="shared" ref="D12:D15" si="0">G12*$D$4</f>
        <v>1.025153354061674</v>
      </c>
      <c r="E12" s="1">
        <v>1.7050000000000001</v>
      </c>
      <c r="F12" s="27">
        <f t="shared" ref="F12:F16" si="1">E12-D12</f>
        <v>0.67984664593832611</v>
      </c>
      <c r="G12" s="23">
        <f>'CAPM Regression'!N90</f>
        <v>0.86510831566386048</v>
      </c>
      <c r="H12" s="23">
        <f>'CAPM Regression'!N79</f>
        <v>19.876914741776769</v>
      </c>
      <c r="I12" s="23">
        <f t="shared" ref="I12:I15" si="2">H12^2</f>
        <v>395.09173965186267</v>
      </c>
    </row>
    <row r="13" spans="3:9">
      <c r="C13" s="2" t="s">
        <v>33</v>
      </c>
      <c r="D13" s="29">
        <f>G13*$D$4</f>
        <v>1.9338155698546171</v>
      </c>
      <c r="E13" s="1">
        <v>2.5499999999999998</v>
      </c>
      <c r="F13" s="27">
        <f t="shared" si="1"/>
        <v>0.61618443014538271</v>
      </c>
      <c r="G13" s="23">
        <f>'CAPM Regression'!C112</f>
        <v>1.6319118732950366</v>
      </c>
      <c r="H13" s="23">
        <f>'CAPM Regression'!C101</f>
        <v>12.584683571108348</v>
      </c>
      <c r="I13" s="23">
        <f t="shared" si="2"/>
        <v>158.37426058492437</v>
      </c>
    </row>
    <row r="14" spans="3:9">
      <c r="C14" s="2" t="s">
        <v>8</v>
      </c>
      <c r="D14" s="29">
        <f t="shared" si="0"/>
        <v>1.7265812559942213</v>
      </c>
      <c r="E14" s="1">
        <v>2.35</v>
      </c>
      <c r="F14" s="27">
        <f t="shared" si="1"/>
        <v>0.62341874400577879</v>
      </c>
      <c r="G14" s="23">
        <f>'CAPM Regression'!N112</f>
        <v>1.4570305957757153</v>
      </c>
      <c r="H14" s="23">
        <f>'CAPM Regression'!N101</f>
        <v>12.185326506217177</v>
      </c>
      <c r="I14" s="23">
        <f t="shared" si="2"/>
        <v>148.4821820631189</v>
      </c>
    </row>
    <row r="15" spans="3:9">
      <c r="C15" s="2" t="s">
        <v>34</v>
      </c>
      <c r="D15" s="29">
        <f t="shared" si="0"/>
        <v>0.73262298610452803</v>
      </c>
      <c r="E15" s="1">
        <v>1.18</v>
      </c>
      <c r="F15" s="27">
        <f t="shared" si="1"/>
        <v>0.44737701389547191</v>
      </c>
      <c r="G15" s="23">
        <f>'CAPM Regression'!C135</f>
        <v>0.61824724565782996</v>
      </c>
      <c r="H15" s="23">
        <f>'CAPM Regression'!C124</f>
        <v>7.6067650154928508</v>
      </c>
      <c r="I15" s="23">
        <f t="shared" si="2"/>
        <v>57.862874000925949</v>
      </c>
    </row>
    <row r="16" spans="3:9">
      <c r="C16" s="2" t="s">
        <v>72</v>
      </c>
      <c r="D16" s="29">
        <f>G16*$D$4</f>
        <v>0.56937996322398532</v>
      </c>
      <c r="E16" s="1">
        <v>0.755</v>
      </c>
      <c r="F16" s="27">
        <f t="shared" si="1"/>
        <v>0.18562003677601469</v>
      </c>
      <c r="G16" s="23">
        <f>'CAPM Regression'!N135</f>
        <v>0.48048942044218201</v>
      </c>
      <c r="H16" s="23">
        <f>'CAPM Regression'!N124</f>
        <v>4.3658231208742215</v>
      </c>
      <c r="I16" s="23">
        <f>H16^2</f>
        <v>19.060411522759928</v>
      </c>
    </row>
    <row r="18" spans="3:9">
      <c r="C18" s="20" t="s">
        <v>35</v>
      </c>
      <c r="D18" s="20" t="s">
        <v>41</v>
      </c>
      <c r="E18" s="20" t="s">
        <v>42</v>
      </c>
      <c r="F18" s="21" t="s">
        <v>76</v>
      </c>
      <c r="G18" s="21"/>
      <c r="H18" s="21"/>
      <c r="I18" s="21"/>
    </row>
    <row r="19" spans="3:9">
      <c r="C19" s="2" t="s">
        <v>6</v>
      </c>
      <c r="D19" s="23">
        <f>F11/I11</f>
        <v>5.7898639600257344E-3</v>
      </c>
      <c r="E19" s="23">
        <f t="shared" ref="E19:E24" si="3">D19/$D$25</f>
        <v>0.17507862954539685</v>
      </c>
      <c r="F19" s="23">
        <f>D11*E19</f>
        <v>0.26468528916090134</v>
      </c>
    </row>
    <row r="20" spans="3:9">
      <c r="C20" s="2" t="s">
        <v>7</v>
      </c>
      <c r="D20" s="23">
        <f t="shared" ref="D20:D22" si="4">F12/I12</f>
        <v>1.7207311054829363E-3</v>
      </c>
      <c r="E20" s="23">
        <f t="shared" si="3"/>
        <v>5.2032870866062488E-2</v>
      </c>
      <c r="F20" s="23">
        <f t="shared" ref="F20:F24" si="5">D12*E20</f>
        <v>5.3341672089801916E-2</v>
      </c>
    </row>
    <row r="21" spans="3:9">
      <c r="C21" s="2" t="s">
        <v>33</v>
      </c>
      <c r="D21" s="23">
        <f t="shared" si="4"/>
        <v>3.8906854426320665E-3</v>
      </c>
      <c r="E21" s="23">
        <f t="shared" si="3"/>
        <v>0.11764972026824967</v>
      </c>
      <c r="F21" s="23">
        <f t="shared" si="5"/>
        <v>0.22751286084378153</v>
      </c>
    </row>
    <row r="22" spans="3:9">
      <c r="C22" s="2" t="s">
        <v>8</v>
      </c>
      <c r="D22" s="23">
        <f t="shared" si="4"/>
        <v>4.1986097950848216E-3</v>
      </c>
      <c r="E22" s="23">
        <f t="shared" si="3"/>
        <v>0.12696098802916655</v>
      </c>
      <c r="F22" s="23">
        <f t="shared" si="5"/>
        <v>0.21920846217366569</v>
      </c>
    </row>
    <row r="23" spans="3:9">
      <c r="C23" s="2" t="s">
        <v>34</v>
      </c>
      <c r="D23" s="23">
        <f>F15/I15</f>
        <v>7.7316763403130094E-3</v>
      </c>
      <c r="E23" s="23">
        <f t="shared" si="3"/>
        <v>0.23379673634759365</v>
      </c>
      <c r="F23" s="23">
        <f t="shared" si="5"/>
        <v>0.17128486312446711</v>
      </c>
    </row>
    <row r="24" spans="3:9">
      <c r="C24" s="2" t="s">
        <v>72</v>
      </c>
      <c r="D24" s="23">
        <f>F16/I16</f>
        <v>9.7385114982626083E-3</v>
      </c>
      <c r="E24" s="23">
        <f t="shared" si="3"/>
        <v>0.29448105494353077</v>
      </c>
      <c r="F24" s="23">
        <f t="shared" si="5"/>
        <v>0.16767161223390795</v>
      </c>
    </row>
    <row r="25" spans="3:9">
      <c r="C25" s="18" t="s">
        <v>43</v>
      </c>
      <c r="D25" s="23">
        <f>SUM(D19:D24)</f>
        <v>3.3070078141801178E-2</v>
      </c>
      <c r="E25" s="2">
        <f>SUM(E19:E24)</f>
        <v>1</v>
      </c>
      <c r="F25" s="23">
        <f>SUM(F19:F24)</f>
        <v>1.1037047596265255</v>
      </c>
    </row>
    <row r="27" spans="3:9">
      <c r="C27" s="71" t="s">
        <v>90</v>
      </c>
      <c r="D27" s="71"/>
      <c r="E27" s="71"/>
    </row>
    <row r="28" spans="3:9">
      <c r="C28" s="2" t="s">
        <v>44</v>
      </c>
      <c r="D28" s="29">
        <f>F11*E19+F12*E20+F13*E21+F14*E22+F15*E23+F16*E24</f>
        <v>0.44575328857964075</v>
      </c>
    </row>
    <row r="29" spans="3:9">
      <c r="C29" s="2" t="s">
        <v>38</v>
      </c>
      <c r="D29" s="28">
        <f>I11*E19^2+I12*E20^2+I13*E21^2+I14*E22^2+I15*E23^2+I16*E24^2</f>
        <v>13.479051566443099</v>
      </c>
    </row>
    <row r="30" spans="3:9">
      <c r="C30" s="2" t="s">
        <v>150</v>
      </c>
      <c r="D30" s="23">
        <f>D28/D29</f>
        <v>3.3070078141801171E-2</v>
      </c>
    </row>
    <row r="31" spans="3:9">
      <c r="C31" s="19" t="s">
        <v>182</v>
      </c>
      <c r="D31" s="23">
        <f>D30/D6</f>
        <v>0.86263929110784765</v>
      </c>
    </row>
    <row r="32" spans="3:9">
      <c r="C32" t="s">
        <v>181</v>
      </c>
      <c r="D32" s="23">
        <f>G11*E19+G12*E20+G13*E21+G14*E22+G15*E23+G16*E24</f>
        <v>0.93139642162576053</v>
      </c>
    </row>
    <row r="33" spans="3:5" ht="28.8">
      <c r="C33" s="19" t="s">
        <v>183</v>
      </c>
      <c r="D33" s="25">
        <f>D31/(1+D31-D31*D32)</f>
        <v>0.81444058165863231</v>
      </c>
    </row>
    <row r="34" spans="3:5" ht="28.8">
      <c r="C34" s="19" t="s">
        <v>78</v>
      </c>
      <c r="D34" s="25">
        <f>1-D33</f>
        <v>0.18555941834136769</v>
      </c>
    </row>
    <row r="36" spans="3:5" ht="14.4" customHeight="1">
      <c r="C36" s="71" t="s">
        <v>46</v>
      </c>
      <c r="D36" s="71"/>
      <c r="E36" s="71"/>
    </row>
    <row r="37" spans="3:5" ht="14.4" customHeight="1">
      <c r="D37" s="2" t="s">
        <v>40</v>
      </c>
      <c r="E37" s="2"/>
    </row>
    <row r="38" spans="3:5">
      <c r="C38" s="2" t="s">
        <v>6</v>
      </c>
      <c r="D38" s="9">
        <f t="shared" ref="D38:D43" si="6">$D$33*E19</f>
        <v>0.14259114088294922</v>
      </c>
      <c r="E38" s="24"/>
    </row>
    <row r="39" spans="3:5">
      <c r="C39" s="2" t="s">
        <v>7</v>
      </c>
      <c r="D39" s="9">
        <f t="shared" si="6"/>
        <v>4.2377681613524433E-2</v>
      </c>
      <c r="E39" s="24"/>
    </row>
    <row r="40" spans="3:5">
      <c r="C40" s="2" t="s">
        <v>33</v>
      </c>
      <c r="D40" s="9">
        <f t="shared" si="6"/>
        <v>9.5818706607248644E-2</v>
      </c>
      <c r="E40" s="24"/>
    </row>
    <row r="41" spans="3:5">
      <c r="C41" s="2" t="s">
        <v>8</v>
      </c>
      <c r="D41" s="9">
        <f t="shared" si="6"/>
        <v>0.10340218093842907</v>
      </c>
      <c r="E41" s="24"/>
    </row>
    <row r="42" spans="3:5">
      <c r="C42" s="2" t="s">
        <v>34</v>
      </c>
      <c r="D42" s="9">
        <f t="shared" si="6"/>
        <v>0.19041354994082407</v>
      </c>
      <c r="E42" s="24"/>
    </row>
    <row r="43" spans="3:5">
      <c r="C43" s="2" t="s">
        <v>72</v>
      </c>
      <c r="D43" s="9">
        <f t="shared" si="6"/>
        <v>0.23983732167565686</v>
      </c>
      <c r="E43" s="24"/>
    </row>
    <row r="44" spans="3:5">
      <c r="C44" s="18" t="s">
        <v>43</v>
      </c>
      <c r="D44" s="25">
        <f>SUM(D38:D43)</f>
        <v>0.81444058165863231</v>
      </c>
      <c r="E44" s="22"/>
    </row>
    <row r="46" spans="3:5">
      <c r="D46" s="2" t="s">
        <v>88</v>
      </c>
      <c r="E46" s="2"/>
    </row>
    <row r="47" spans="3:5">
      <c r="C47" s="2" t="s">
        <v>32</v>
      </c>
      <c r="D47" s="26">
        <f>D34+D33*D32</f>
        <v>0.94412646172502079</v>
      </c>
      <c r="E47" s="44"/>
    </row>
    <row r="48" spans="3:5">
      <c r="C48" s="2" t="s">
        <v>47</v>
      </c>
      <c r="D48" s="23">
        <f>D47*D4+D33*D28</f>
        <v>1.4818294247711996</v>
      </c>
      <c r="E48" s="23"/>
    </row>
    <row r="49" spans="3:5">
      <c r="C49" s="2" t="s">
        <v>45</v>
      </c>
      <c r="D49" s="23">
        <f>D47^2+D33^2*D29</f>
        <v>9.8322111219712447</v>
      </c>
      <c r="E49" s="1"/>
    </row>
    <row r="50" spans="3:5">
      <c r="C50" s="19" t="s">
        <v>48</v>
      </c>
      <c r="D50" s="23">
        <f>D49^0.5</f>
        <v>3.1356356806828254</v>
      </c>
      <c r="E50" s="23"/>
    </row>
    <row r="51" spans="3:5">
      <c r="C51" s="19" t="s">
        <v>77</v>
      </c>
      <c r="D51" s="27">
        <f>D48/D50</f>
        <v>0.47257703881227425</v>
      </c>
      <c r="E51" s="23"/>
    </row>
    <row r="52" spans="3:5">
      <c r="C52" s="2"/>
    </row>
  </sheetData>
  <mergeCells count="3">
    <mergeCell ref="C27:E27"/>
    <mergeCell ref="C36:E36"/>
    <mergeCell ref="C3: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136C5-8275-42FB-B9A1-CDF9A2C8EB68}">
  <dimension ref="B1:V138"/>
  <sheetViews>
    <sheetView topLeftCell="A68" zoomScale="80" zoomScaleNormal="80" workbookViewId="0">
      <selection activeCell="X71" sqref="X71"/>
    </sheetView>
  </sheetViews>
  <sheetFormatPr defaultRowHeight="14.4"/>
  <cols>
    <col min="3" max="3" width="15.6640625" customWidth="1"/>
    <col min="8" max="9" width="12.88671875" customWidth="1"/>
    <col min="12" max="12" width="10.5546875" bestFit="1" customWidth="1"/>
    <col min="22" max="22" width="8.88671875" customWidth="1"/>
  </cols>
  <sheetData>
    <row r="1" spans="2:22">
      <c r="N1" s="72" t="s">
        <v>79</v>
      </c>
      <c r="O1" s="72"/>
      <c r="P1" s="72"/>
      <c r="Q1" s="72"/>
      <c r="R1" s="72"/>
      <c r="S1" s="72"/>
      <c r="T1" s="72"/>
    </row>
    <row r="2" spans="2:22">
      <c r="C2" s="2" t="s">
        <v>69</v>
      </c>
      <c r="D2" s="2" t="s">
        <v>61</v>
      </c>
      <c r="E2" s="2" t="s">
        <v>62</v>
      </c>
      <c r="F2" s="2" t="s">
        <v>63</v>
      </c>
      <c r="G2" s="2" t="s">
        <v>64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75</v>
      </c>
      <c r="N2" s="2" t="s">
        <v>80</v>
      </c>
      <c r="O2" s="2" t="s">
        <v>81</v>
      </c>
      <c r="P2" s="2" t="s">
        <v>82</v>
      </c>
      <c r="Q2" s="2" t="s">
        <v>83</v>
      </c>
      <c r="R2" s="2" t="s">
        <v>84</v>
      </c>
      <c r="S2" s="2" t="s">
        <v>85</v>
      </c>
      <c r="T2" s="2" t="s">
        <v>86</v>
      </c>
      <c r="V2" s="2" t="s">
        <v>87</v>
      </c>
    </row>
    <row r="3" spans="2:22">
      <c r="B3">
        <v>201901</v>
      </c>
      <c r="C3" s="1">
        <v>8.4</v>
      </c>
      <c r="D3" s="1">
        <v>2.88</v>
      </c>
      <c r="E3" s="1">
        <v>-0.45</v>
      </c>
      <c r="F3" s="1">
        <v>0.21</v>
      </c>
      <c r="G3" s="1">
        <v>26.630019026525897</v>
      </c>
      <c r="H3" s="1">
        <v>29.959330206357841</v>
      </c>
      <c r="I3" s="1">
        <v>32.02185981754387</v>
      </c>
      <c r="J3" s="1">
        <v>18.937435684112945</v>
      </c>
      <c r="K3" s="1">
        <v>5.7278754075853673</v>
      </c>
      <c r="L3" s="1">
        <v>2.9127929703455671</v>
      </c>
      <c r="N3">
        <f>'Active Porfolio'!D34</f>
        <v>0.18555941834136769</v>
      </c>
      <c r="O3">
        <f>'Active Porfolio'!D38</f>
        <v>0.14259114088294922</v>
      </c>
      <c r="P3">
        <f>'Active Porfolio'!D39</f>
        <v>4.2377681613524433E-2</v>
      </c>
      <c r="Q3">
        <f>'Active Porfolio'!D40</f>
        <v>9.5818706607248644E-2</v>
      </c>
      <c r="R3">
        <f>'Active Porfolio'!D41</f>
        <v>0.10340218093842907</v>
      </c>
      <c r="S3">
        <f>'Active Porfolio'!D42</f>
        <v>0.19041354994082407</v>
      </c>
      <c r="T3">
        <f>'Active Porfolio'!D43</f>
        <v>0.23983732167565686</v>
      </c>
      <c r="V3">
        <f>C3*$N$3+G3*$O$3+H3*$P$3+I3*$Q$3+J3*$R$3+K3*$S$3+L3*$T$3</f>
        <v>13.441237762208567</v>
      </c>
    </row>
    <row r="4" spans="2:22">
      <c r="B4">
        <v>201902</v>
      </c>
      <c r="C4" s="1">
        <v>3.4</v>
      </c>
      <c r="D4" s="1">
        <v>2.06</v>
      </c>
      <c r="E4" s="1">
        <v>-2.71</v>
      </c>
      <c r="F4" s="1">
        <v>0.18</v>
      </c>
      <c r="G4" s="1">
        <v>5.2986468335787951</v>
      </c>
      <c r="H4" s="1">
        <v>2.3191510612513162</v>
      </c>
      <c r="I4" s="1">
        <v>-3.7850757886112314</v>
      </c>
      <c r="J4" s="1">
        <v>3.6942814785530662</v>
      </c>
      <c r="K4" s="1">
        <v>0.59757816296777344</v>
      </c>
      <c r="L4" s="1">
        <v>2.4950789047952582</v>
      </c>
      <c r="V4">
        <f t="shared" ref="V4:V62" si="0">C4*$N$3+G4*$O$3+H4*$P$3+I4*$Q$3+J4*$R$3+K4*$S$3+L4*$T$3</f>
        <v>2.2162380814648803</v>
      </c>
    </row>
    <row r="5" spans="2:22">
      <c r="B5">
        <v>201903</v>
      </c>
      <c r="C5" s="1">
        <v>1.1000000000000001</v>
      </c>
      <c r="D5" s="1">
        <v>-3.05</v>
      </c>
      <c r="E5" s="1">
        <v>-4.12</v>
      </c>
      <c r="F5" s="1">
        <v>0.19</v>
      </c>
      <c r="G5" s="1">
        <v>-0.62004969958028999</v>
      </c>
      <c r="H5" s="1">
        <v>-17.357674777298772</v>
      </c>
      <c r="I5" s="1">
        <v>8.267283958466475</v>
      </c>
      <c r="J5" s="1">
        <v>0.36185728928368538</v>
      </c>
      <c r="K5" s="1">
        <v>0.4208358882950633</v>
      </c>
      <c r="L5" s="1">
        <v>2.7938758848848235</v>
      </c>
      <c r="V5">
        <f t="shared" si="0"/>
        <v>0.95990960455800844</v>
      </c>
    </row>
    <row r="6" spans="2:22">
      <c r="B6">
        <v>201904</v>
      </c>
      <c r="C6" s="1">
        <v>3.97</v>
      </c>
      <c r="D6" s="1">
        <v>-1.72</v>
      </c>
      <c r="E6" s="1">
        <v>2.16</v>
      </c>
      <c r="F6" s="1">
        <v>0.21</v>
      </c>
      <c r="G6" s="1">
        <v>3.7108018505766287</v>
      </c>
      <c r="H6" s="1">
        <v>-10.572899611407241</v>
      </c>
      <c r="I6" s="1">
        <v>8.058021159874615</v>
      </c>
      <c r="J6" s="1">
        <v>16.23587244511732</v>
      </c>
      <c r="K6" s="1">
        <v>1.2918357565106138</v>
      </c>
      <c r="L6" s="1">
        <v>0.79865687436504373</v>
      </c>
      <c r="V6">
        <f t="shared" si="0"/>
        <v>3.7062079304550806</v>
      </c>
    </row>
    <row r="7" spans="2:22">
      <c r="B7">
        <v>201905</v>
      </c>
      <c r="C7" s="1">
        <v>-6.94</v>
      </c>
      <c r="D7" s="1">
        <v>-1.31</v>
      </c>
      <c r="E7" s="1">
        <v>-2.37</v>
      </c>
      <c r="F7" s="1">
        <v>0.21</v>
      </c>
      <c r="G7" s="1">
        <v>-7.5668330916729767</v>
      </c>
      <c r="H7" s="1">
        <v>-12.85057579847053</v>
      </c>
      <c r="I7" s="1">
        <v>-1.0062323849523171</v>
      </c>
      <c r="J7" s="1">
        <v>-5.8820267458479893</v>
      </c>
      <c r="K7" s="1">
        <v>-2.9173792335491724</v>
      </c>
      <c r="L7" s="1">
        <v>-7.3275869209079145</v>
      </c>
      <c r="V7">
        <f t="shared" si="0"/>
        <v>-5.9288909738108195</v>
      </c>
    </row>
    <row r="8" spans="2:22">
      <c r="B8">
        <v>201906</v>
      </c>
      <c r="C8" s="1">
        <v>6.93</v>
      </c>
      <c r="D8" s="1">
        <v>0.28000000000000003</v>
      </c>
      <c r="E8" s="1">
        <v>-0.7</v>
      </c>
      <c r="F8" s="1">
        <v>0.18</v>
      </c>
      <c r="G8" s="1">
        <v>6.8230319476900263</v>
      </c>
      <c r="H8" s="1">
        <v>6.0506848609680732</v>
      </c>
      <c r="I8" s="1">
        <v>10.618982123312653</v>
      </c>
      <c r="J8" s="1">
        <v>12.983333680852299</v>
      </c>
      <c r="K8" s="1">
        <v>5.0942257680921141</v>
      </c>
      <c r="L8" s="1">
        <v>6.7456648508955412</v>
      </c>
      <c r="V8">
        <f t="shared" si="0"/>
        <v>7.4631186298451357</v>
      </c>
    </row>
    <row r="9" spans="2:22">
      <c r="B9">
        <v>201907</v>
      </c>
      <c r="C9" s="1">
        <v>1.19</v>
      </c>
      <c r="D9" s="1">
        <v>-1.93</v>
      </c>
      <c r="E9" s="1">
        <v>0.47</v>
      </c>
      <c r="F9" s="1">
        <v>0.19</v>
      </c>
      <c r="G9" s="1">
        <v>-12.258500532289275</v>
      </c>
      <c r="H9" s="1">
        <v>7.7595932113229757</v>
      </c>
      <c r="I9" s="1">
        <v>7.3417837885490556E-2</v>
      </c>
      <c r="J9" s="1">
        <v>-2.0018179049939202</v>
      </c>
      <c r="K9" s="1">
        <v>-3.5402397418164901</v>
      </c>
      <c r="L9" s="1">
        <v>-6.6948799056766424</v>
      </c>
      <c r="V9">
        <f t="shared" si="0"/>
        <v>-3.678053515375634</v>
      </c>
    </row>
    <row r="10" spans="2:22">
      <c r="B10">
        <v>201908</v>
      </c>
      <c r="C10" s="1">
        <v>-2.58</v>
      </c>
      <c r="D10" s="1">
        <v>-2.39</v>
      </c>
      <c r="E10" s="1">
        <v>-4.79</v>
      </c>
      <c r="F10" s="1">
        <v>0.16</v>
      </c>
      <c r="G10" s="1">
        <v>-9.2129090390695936</v>
      </c>
      <c r="H10" s="1">
        <v>46.988630444544249</v>
      </c>
      <c r="I10" s="1">
        <v>3.1240721417381887</v>
      </c>
      <c r="J10" s="1">
        <v>-3.9125167856261984</v>
      </c>
      <c r="K10" s="1">
        <v>-11.751669766126096</v>
      </c>
      <c r="L10" s="1">
        <v>-1.5883521331100334</v>
      </c>
      <c r="V10">
        <f t="shared" si="0"/>
        <v>-2.5249947856241608</v>
      </c>
    </row>
    <row r="11" spans="2:22">
      <c r="B11">
        <v>201909</v>
      </c>
      <c r="C11" s="1">
        <v>1.43</v>
      </c>
      <c r="D11" s="1">
        <v>-0.97</v>
      </c>
      <c r="E11" s="1">
        <v>6.77</v>
      </c>
      <c r="F11" s="1">
        <v>0.18</v>
      </c>
      <c r="G11" s="1">
        <v>-9.0753208510638235</v>
      </c>
      <c r="H11" s="1">
        <v>-1.8583613060726263</v>
      </c>
      <c r="I11" s="1">
        <v>-8.0019425175852987</v>
      </c>
      <c r="J11" s="1">
        <v>-6.7210053165780526</v>
      </c>
      <c r="K11" s="1">
        <v>5.6653239512706461</v>
      </c>
      <c r="L11" s="1">
        <v>1.3699281835017698</v>
      </c>
      <c r="V11">
        <f t="shared" si="0"/>
        <v>-1.1618514682237313</v>
      </c>
    </row>
    <row r="12" spans="2:22">
      <c r="B12">
        <v>201910</v>
      </c>
      <c r="C12" s="1">
        <v>2.06</v>
      </c>
      <c r="D12" s="1">
        <v>0.28999999999999998</v>
      </c>
      <c r="E12" s="1">
        <v>-1.9</v>
      </c>
      <c r="F12" s="1">
        <v>0.16</v>
      </c>
      <c r="G12" s="1">
        <v>7.2348170427250755</v>
      </c>
      <c r="H12" s="1">
        <v>26.717714870337826</v>
      </c>
      <c r="I12" s="1">
        <v>16.880358744394623</v>
      </c>
      <c r="J12" s="1">
        <v>-10.882284458620402</v>
      </c>
      <c r="K12" s="1">
        <v>-1.6553220559157809</v>
      </c>
      <c r="L12" s="1">
        <v>1.8959325553151098</v>
      </c>
      <c r="V12">
        <f t="shared" si="0"/>
        <v>3.1778298647236189</v>
      </c>
    </row>
    <row r="13" spans="2:22">
      <c r="B13">
        <v>201911</v>
      </c>
      <c r="C13" s="1">
        <v>3.88</v>
      </c>
      <c r="D13" s="1">
        <v>0.78</v>
      </c>
      <c r="E13" s="1">
        <v>-1.99</v>
      </c>
      <c r="F13" s="1">
        <v>0.12</v>
      </c>
      <c r="G13" s="1">
        <v>9.3612287744862215</v>
      </c>
      <c r="H13" s="1">
        <v>-12.179686593451892</v>
      </c>
      <c r="I13" s="1">
        <v>15.264621279104041</v>
      </c>
      <c r="J13" s="1">
        <v>6.5415194697524734</v>
      </c>
      <c r="K13" s="1">
        <v>-0.94801275093993265</v>
      </c>
      <c r="L13" s="1">
        <v>4.0075827065774039</v>
      </c>
      <c r="V13">
        <f t="shared" si="0"/>
        <v>4.4583490306553752</v>
      </c>
    </row>
    <row r="14" spans="2:22">
      <c r="B14">
        <v>201912</v>
      </c>
      <c r="C14" s="1">
        <v>2.77</v>
      </c>
      <c r="D14" s="1">
        <v>0.73</v>
      </c>
      <c r="E14" s="1">
        <v>1.78</v>
      </c>
      <c r="F14" s="1">
        <v>0.14000000000000001</v>
      </c>
      <c r="G14" s="1">
        <v>2.6916287061383115</v>
      </c>
      <c r="H14" s="1">
        <v>5.0616660583681208</v>
      </c>
      <c r="I14" s="1">
        <v>16.999204743846491</v>
      </c>
      <c r="J14" s="1">
        <v>1.163397852882059</v>
      </c>
      <c r="K14" s="1">
        <v>2.4517515188119141</v>
      </c>
      <c r="L14" s="1">
        <v>6.6900526345542071</v>
      </c>
      <c r="V14">
        <f t="shared" si="0"/>
        <v>4.9328143727073579</v>
      </c>
    </row>
    <row r="15" spans="2:22">
      <c r="B15">
        <v>202001</v>
      </c>
      <c r="C15" s="1">
        <v>-0.11</v>
      </c>
      <c r="D15" s="1">
        <v>-3.13</v>
      </c>
      <c r="E15" s="1">
        <v>-6.25</v>
      </c>
      <c r="F15" s="1">
        <v>0.13</v>
      </c>
      <c r="G15" s="1">
        <v>6.5207984468412148</v>
      </c>
      <c r="H15" s="1">
        <v>-7.0046668429402343</v>
      </c>
      <c r="I15" s="1">
        <v>2.3558241935058031</v>
      </c>
      <c r="J15" s="1">
        <v>-11.530995557558898</v>
      </c>
      <c r="K15" s="1">
        <v>-11.710193285859608</v>
      </c>
      <c r="L15" s="1">
        <v>1.926585201366823</v>
      </c>
      <c r="V15">
        <f t="shared" si="0"/>
        <v>-2.1217554884987231</v>
      </c>
    </row>
    <row r="16" spans="2:22">
      <c r="B16">
        <v>202002</v>
      </c>
      <c r="C16" s="1">
        <v>-8.1300000000000008</v>
      </c>
      <c r="D16" s="1">
        <v>1.07</v>
      </c>
      <c r="E16" s="1">
        <v>-3.8</v>
      </c>
      <c r="F16" s="1">
        <v>0.12</v>
      </c>
      <c r="G16" s="1">
        <v>6.8173216486982691</v>
      </c>
      <c r="H16" s="1">
        <v>1.4699999548551776</v>
      </c>
      <c r="I16" s="1">
        <v>-3.3540425531914964</v>
      </c>
      <c r="J16" s="1">
        <v>-7.8045539457622386</v>
      </c>
      <c r="K16" s="1">
        <v>-15.690474954152455</v>
      </c>
      <c r="L16" s="1">
        <v>-9.7861431636930067</v>
      </c>
      <c r="V16">
        <f t="shared" si="0"/>
        <v>-6.9373625301910042</v>
      </c>
    </row>
    <row r="17" spans="2:22">
      <c r="B17">
        <v>202003</v>
      </c>
      <c r="C17" s="1">
        <v>-13.39</v>
      </c>
      <c r="D17" s="1">
        <v>-4.79</v>
      </c>
      <c r="E17" s="1">
        <v>-13.88</v>
      </c>
      <c r="F17" s="1">
        <v>0.13</v>
      </c>
      <c r="G17" s="1">
        <v>1.6232452693635957</v>
      </c>
      <c r="H17" s="1">
        <v>0.56871438509542727</v>
      </c>
      <c r="I17" s="1">
        <v>-0.13</v>
      </c>
      <c r="J17" s="1">
        <v>-21.34476731483505</v>
      </c>
      <c r="K17" s="1">
        <v>-20.888574171214479</v>
      </c>
      <c r="L17" s="1">
        <v>-1.999285995389569</v>
      </c>
      <c r="V17">
        <f t="shared" si="0"/>
        <v>-8.905602302936126</v>
      </c>
    </row>
    <row r="18" spans="2:22">
      <c r="B18">
        <v>202004</v>
      </c>
      <c r="C18" s="1">
        <v>13.65</v>
      </c>
      <c r="D18" s="1">
        <v>2.4500000000000002</v>
      </c>
      <c r="E18" s="1">
        <v>-1.34</v>
      </c>
      <c r="F18" s="1">
        <v>0</v>
      </c>
      <c r="G18" s="1">
        <v>11.81092037283622</v>
      </c>
      <c r="H18" s="1">
        <v>31.668055278047618</v>
      </c>
      <c r="I18" s="1">
        <v>15.193489445910306</v>
      </c>
      <c r="J18" s="1">
        <v>22.046580087449257</v>
      </c>
      <c r="K18" s="1">
        <v>-5.0444197490518778</v>
      </c>
      <c r="L18" s="1">
        <v>14.420804131616304</v>
      </c>
      <c r="V18">
        <f t="shared" si="0"/>
        <v>11.792643573454184</v>
      </c>
    </row>
    <row r="19" spans="2:22">
      <c r="B19">
        <v>202005</v>
      </c>
      <c r="C19" s="1">
        <v>5.58</v>
      </c>
      <c r="D19" s="1">
        <v>2.4900000000000002</v>
      </c>
      <c r="E19" s="1">
        <v>-4.8499999999999996</v>
      </c>
      <c r="F19" s="1">
        <v>0.01</v>
      </c>
      <c r="G19" s="1">
        <v>-3.8580444988731803E-2</v>
      </c>
      <c r="H19" s="1">
        <v>40.947007608705889</v>
      </c>
      <c r="I19" s="1">
        <v>2.6813533630722088</v>
      </c>
      <c r="J19" s="1">
        <v>5.920472889364814</v>
      </c>
      <c r="K19" s="1">
        <v>-3.57172642433666</v>
      </c>
      <c r="L19" s="1">
        <v>-0.86977884507042469</v>
      </c>
      <c r="V19">
        <f t="shared" si="0"/>
        <v>2.7455626597729306</v>
      </c>
    </row>
    <row r="20" spans="2:22">
      <c r="B20">
        <v>202006</v>
      </c>
      <c r="C20" s="1">
        <v>2.46</v>
      </c>
      <c r="D20" s="1">
        <v>2.69</v>
      </c>
      <c r="E20" s="1">
        <v>-2.23</v>
      </c>
      <c r="F20" s="1">
        <v>0.01</v>
      </c>
      <c r="G20" s="1">
        <v>8.4025502286278044</v>
      </c>
      <c r="H20" s="1">
        <v>28.35846440697782</v>
      </c>
      <c r="I20" s="1">
        <v>-2.2218922344217935</v>
      </c>
      <c r="J20" s="1">
        <v>6.1676084551181569</v>
      </c>
      <c r="K20" s="1">
        <v>2.3061126035645505</v>
      </c>
      <c r="L20" s="1">
        <v>-4.8134348833698724</v>
      </c>
      <c r="V20">
        <f t="shared" si="0"/>
        <v>2.5658904504643809</v>
      </c>
    </row>
    <row r="21" spans="2:22">
      <c r="B21">
        <v>202007</v>
      </c>
      <c r="C21" s="1">
        <v>5.77</v>
      </c>
      <c r="D21" s="1">
        <v>-2.2999999999999998</v>
      </c>
      <c r="E21" s="1">
        <v>-1.44</v>
      </c>
      <c r="F21" s="1">
        <v>0.01</v>
      </c>
      <c r="G21" s="1">
        <v>7.4267078346291058</v>
      </c>
      <c r="H21" s="1">
        <v>6.9331585248442984</v>
      </c>
      <c r="I21" s="1">
        <v>47.167339912994898</v>
      </c>
      <c r="J21" s="1">
        <v>20.293028282828278</v>
      </c>
      <c r="K21" s="1">
        <v>-8.8200339189364882</v>
      </c>
      <c r="L21" s="1">
        <v>3.6378328297725462</v>
      </c>
      <c r="V21">
        <f t="shared" si="0"/>
        <v>8.2343627718662802</v>
      </c>
    </row>
    <row r="22" spans="2:22">
      <c r="B22">
        <v>202008</v>
      </c>
      <c r="C22" s="1">
        <v>7.63</v>
      </c>
      <c r="D22" s="1">
        <v>-0.28000000000000003</v>
      </c>
      <c r="E22" s="1">
        <v>-2.88</v>
      </c>
      <c r="F22" s="1">
        <v>0.01</v>
      </c>
      <c r="G22" s="1">
        <v>8.3110588659685458</v>
      </c>
      <c r="H22" s="1">
        <v>-3.1254693970979464</v>
      </c>
      <c r="I22" s="1">
        <v>17.283038873821496</v>
      </c>
      <c r="J22" s="1">
        <v>28.60460501451897</v>
      </c>
      <c r="K22" s="1">
        <v>-0.4460919300936626</v>
      </c>
      <c r="L22" s="1">
        <v>5.2383877273889592</v>
      </c>
      <c r="V22">
        <f t="shared" si="0"/>
        <v>8.2536874895278807</v>
      </c>
    </row>
    <row r="23" spans="2:22">
      <c r="B23">
        <v>202009</v>
      </c>
      <c r="C23" s="1">
        <v>-3.63</v>
      </c>
      <c r="D23" s="1">
        <v>-0.03</v>
      </c>
      <c r="E23" s="1">
        <v>-2.65</v>
      </c>
      <c r="F23" s="1">
        <v>0.01</v>
      </c>
      <c r="G23" s="1">
        <v>-5.586327349408287</v>
      </c>
      <c r="H23" s="1">
        <v>-16.639187842833653</v>
      </c>
      <c r="I23" s="1">
        <v>-9.7325302796740747</v>
      </c>
      <c r="J23" s="1">
        <v>-13.575739055528874</v>
      </c>
      <c r="K23" s="1">
        <v>-15.205417789757407</v>
      </c>
      <c r="L23" s="1">
        <v>-2.3169467982526513</v>
      </c>
      <c r="V23">
        <f t="shared" si="0"/>
        <v>-7.9625990672340654</v>
      </c>
    </row>
    <row r="24" spans="2:22">
      <c r="B24">
        <v>202010</v>
      </c>
      <c r="C24" s="1">
        <v>-2.1</v>
      </c>
      <c r="D24" s="1">
        <v>4.2699999999999996</v>
      </c>
      <c r="E24" s="1">
        <v>4.3099999999999996</v>
      </c>
      <c r="F24" s="1">
        <v>0.01</v>
      </c>
      <c r="G24" s="1">
        <v>-4.8677103470945946</v>
      </c>
      <c r="H24" s="1">
        <v>21.338618439686616</v>
      </c>
      <c r="I24" s="1">
        <v>-8.1817247998957097</v>
      </c>
      <c r="J24" s="1">
        <v>31.485478768677297</v>
      </c>
      <c r="K24" s="1">
        <v>1.4997298371076597</v>
      </c>
      <c r="L24" s="1">
        <v>-7.9157288851307364</v>
      </c>
      <c r="V24">
        <f t="shared" si="0"/>
        <v>0.6793005796575271</v>
      </c>
    </row>
    <row r="25" spans="2:22">
      <c r="B25">
        <v>202011</v>
      </c>
      <c r="C25" s="1">
        <v>12.47</v>
      </c>
      <c r="D25" s="1">
        <v>5.72</v>
      </c>
      <c r="E25" s="1">
        <v>2.15</v>
      </c>
      <c r="F25" s="1">
        <v>0.01</v>
      </c>
      <c r="G25" s="1">
        <v>3.1345794582036377</v>
      </c>
      <c r="H25" s="1">
        <v>54.257607659448524</v>
      </c>
      <c r="I25" s="1">
        <v>23.060796612155706</v>
      </c>
      <c r="J25" s="1">
        <v>7.3191174958374248</v>
      </c>
      <c r="K25" s="1">
        <v>32.436189136837164</v>
      </c>
      <c r="L25" s="1">
        <v>5.5111107098601</v>
      </c>
      <c r="V25">
        <f t="shared" si="0"/>
        <v>15.52472919888582</v>
      </c>
    </row>
    <row r="26" spans="2:22">
      <c r="B26">
        <v>202012</v>
      </c>
      <c r="C26" s="1">
        <v>4.63</v>
      </c>
      <c r="D26" s="1">
        <v>4.79</v>
      </c>
      <c r="E26" s="1">
        <v>-1.34</v>
      </c>
      <c r="F26" s="1">
        <v>0.01</v>
      </c>
      <c r="G26" s="1">
        <v>10.18563211259916</v>
      </c>
      <c r="H26" s="1">
        <v>27.985101620850092</v>
      </c>
      <c r="I26" s="1">
        <v>-1.03525896718071</v>
      </c>
      <c r="J26" s="1">
        <v>5.8660548003853155</v>
      </c>
      <c r="K26" s="1">
        <v>3.8316046099290766</v>
      </c>
      <c r="L26" s="1">
        <v>9.5239042191463046</v>
      </c>
      <c r="V26">
        <f t="shared" si="0"/>
        <v>7.0186075370676946</v>
      </c>
    </row>
    <row r="27" spans="2:22">
      <c r="B27">
        <v>202101</v>
      </c>
      <c r="C27" s="1">
        <v>-0.03</v>
      </c>
      <c r="D27" s="1">
        <v>7.5</v>
      </c>
      <c r="E27" s="1">
        <v>2.85</v>
      </c>
      <c r="F27" s="1">
        <v>0.01</v>
      </c>
      <c r="G27" s="1">
        <v>-1.5523529873449975</v>
      </c>
      <c r="H27" s="1">
        <v>-6.7415760311991457</v>
      </c>
      <c r="I27" s="1">
        <v>-6.6286894190239751</v>
      </c>
      <c r="J27" s="1">
        <v>0.22251516846977074</v>
      </c>
      <c r="K27" s="1">
        <v>4.970079822996011</v>
      </c>
      <c r="L27" s="1">
        <v>3.64356058519295</v>
      </c>
      <c r="V27">
        <f t="shared" si="0"/>
        <v>0.69547753308887983</v>
      </c>
    </row>
    <row r="28" spans="2:22">
      <c r="B28">
        <v>202102</v>
      </c>
      <c r="C28" s="1">
        <v>2.78</v>
      </c>
      <c r="D28" s="1">
        <v>2.0699999999999998</v>
      </c>
      <c r="E28" s="1">
        <v>7.1</v>
      </c>
      <c r="F28" s="1">
        <v>0</v>
      </c>
      <c r="G28" s="1">
        <v>1.2133888348751285</v>
      </c>
      <c r="H28" s="1">
        <v>3.2888762113201748</v>
      </c>
      <c r="I28" s="1">
        <v>-1.3194733923338824</v>
      </c>
      <c r="J28" s="1">
        <v>-18.285430796057874</v>
      </c>
      <c r="K28" s="1">
        <v>11.222553841760725</v>
      </c>
      <c r="L28" s="1">
        <v>-2.8627370344609049</v>
      </c>
      <c r="V28">
        <f t="shared" si="0"/>
        <v>0.26140010607576614</v>
      </c>
    </row>
    <row r="29" spans="2:22">
      <c r="B29">
        <v>202103</v>
      </c>
      <c r="C29" s="1">
        <v>3.08</v>
      </c>
      <c r="D29" s="1">
        <v>-2.2799999999999998</v>
      </c>
      <c r="E29" s="1">
        <v>7.27</v>
      </c>
      <c r="F29" s="1">
        <v>0</v>
      </c>
      <c r="G29" s="1">
        <v>-3.1901278214031015</v>
      </c>
      <c r="H29" s="1">
        <v>-21.78078881091869</v>
      </c>
      <c r="I29" s="1">
        <v>-7.1115866261605349</v>
      </c>
      <c r="J29" s="1">
        <v>7.7511802425764094</v>
      </c>
      <c r="K29" s="1">
        <v>-4.4357788066238886</v>
      </c>
      <c r="L29" s="1">
        <v>4.3637825302448086</v>
      </c>
      <c r="V29">
        <f t="shared" si="0"/>
        <v>-0.48434885605285882</v>
      </c>
    </row>
    <row r="30" spans="2:22">
      <c r="B30">
        <v>202104</v>
      </c>
      <c r="C30" s="1">
        <v>4.93</v>
      </c>
      <c r="D30" s="1">
        <v>-3.2</v>
      </c>
      <c r="E30" s="1">
        <v>-0.95</v>
      </c>
      <c r="F30" s="1">
        <v>0</v>
      </c>
      <c r="G30" s="1">
        <v>-1.5699885795148114</v>
      </c>
      <c r="H30" s="1">
        <v>3.7337913155877769E-2</v>
      </c>
      <c r="I30" s="1">
        <v>3.9745261146496778</v>
      </c>
      <c r="J30" s="1">
        <v>-12.336773917407539</v>
      </c>
      <c r="K30" s="1">
        <v>-3.0859449907152592</v>
      </c>
      <c r="L30" s="1">
        <v>-0.98571731688941178</v>
      </c>
      <c r="V30">
        <f t="shared" si="0"/>
        <v>-1.0263091550455106</v>
      </c>
    </row>
    <row r="31" spans="2:22">
      <c r="B31">
        <v>202105</v>
      </c>
      <c r="C31" s="1">
        <v>0.28999999999999998</v>
      </c>
      <c r="D31" s="1">
        <v>-0.27</v>
      </c>
      <c r="E31" s="1">
        <v>7.13</v>
      </c>
      <c r="F31" s="1">
        <v>0</v>
      </c>
      <c r="G31" s="1">
        <v>-2.0760655154262135</v>
      </c>
      <c r="H31" s="1">
        <v>-6.7572586224207392</v>
      </c>
      <c r="I31" s="1">
        <v>-1.8867936086696833</v>
      </c>
      <c r="J31" s="1">
        <v>-0.54880178425195947</v>
      </c>
      <c r="K31" s="1">
        <v>1.6052657894736762</v>
      </c>
      <c r="L31" s="1">
        <v>4.0066348052262724</v>
      </c>
      <c r="V31">
        <f t="shared" si="0"/>
        <v>0.5004942200235083</v>
      </c>
    </row>
    <row r="32" spans="2:22">
      <c r="B32">
        <v>202106</v>
      </c>
      <c r="C32" s="1">
        <v>2.75</v>
      </c>
      <c r="D32" s="1">
        <v>1.6</v>
      </c>
      <c r="E32" s="1">
        <v>-7.75</v>
      </c>
      <c r="F32" s="1">
        <v>0</v>
      </c>
      <c r="G32" s="1">
        <v>5.0516147453376563</v>
      </c>
      <c r="H32" s="1">
        <v>1.7136451404623276</v>
      </c>
      <c r="I32" s="1">
        <v>17.295201865754215</v>
      </c>
      <c r="J32" s="1">
        <v>18.919985298646893</v>
      </c>
      <c r="K32" s="1">
        <v>4.6361071060319423</v>
      </c>
      <c r="L32" s="1">
        <v>-2.0574241522474446</v>
      </c>
      <c r="V32">
        <f t="shared" si="0"/>
        <v>5.3061263486691947</v>
      </c>
    </row>
    <row r="33" spans="2:22">
      <c r="B33">
        <v>202107</v>
      </c>
      <c r="C33" s="1">
        <v>1.27</v>
      </c>
      <c r="D33" s="1">
        <v>-3.94</v>
      </c>
      <c r="E33" s="1">
        <v>-1.81</v>
      </c>
      <c r="F33" s="1">
        <v>0</v>
      </c>
      <c r="G33" s="1">
        <v>-2.0143531089608802</v>
      </c>
      <c r="H33" s="1">
        <v>-27.877497115670696</v>
      </c>
      <c r="I33" s="1">
        <v>13.052275098477589</v>
      </c>
      <c r="J33" s="1">
        <v>-4.9386818044706224</v>
      </c>
      <c r="K33" s="1">
        <v>0.5445470027451963</v>
      </c>
      <c r="L33" s="1">
        <v>4.528340980138168</v>
      </c>
      <c r="V33">
        <f t="shared" si="0"/>
        <v>0.69678380528357908</v>
      </c>
    </row>
    <row r="34" spans="2:22">
      <c r="B34">
        <v>202108</v>
      </c>
      <c r="C34" s="1">
        <v>2.91</v>
      </c>
      <c r="D34" s="1">
        <v>-0.46</v>
      </c>
      <c r="E34" s="1">
        <v>-0.1</v>
      </c>
      <c r="F34" s="1">
        <v>0</v>
      </c>
      <c r="G34" s="1">
        <v>9.9735290495687501</v>
      </c>
      <c r="H34" s="1">
        <v>9.1802160334001162</v>
      </c>
      <c r="I34" s="1">
        <v>4.2659373902262372</v>
      </c>
      <c r="J34" s="1">
        <v>9.2515096553752905</v>
      </c>
      <c r="K34" s="1">
        <v>-2.1171861673359391</v>
      </c>
      <c r="L34" s="1">
        <v>0.54008395042932644</v>
      </c>
      <c r="V34">
        <f t="shared" si="0"/>
        <v>3.4429252980680802</v>
      </c>
    </row>
    <row r="35" spans="2:22">
      <c r="B35">
        <v>202109</v>
      </c>
      <c r="C35" s="1">
        <v>-4.37</v>
      </c>
      <c r="D35" s="1">
        <v>0.67</v>
      </c>
      <c r="E35" s="1">
        <v>5.0999999999999996</v>
      </c>
      <c r="F35" s="1">
        <v>0</v>
      </c>
      <c r="G35" s="1">
        <v>7.2295762145168379</v>
      </c>
      <c r="H35" s="1">
        <v>-9.3481296545129844</v>
      </c>
      <c r="I35" s="1">
        <v>-7.0628603047068221</v>
      </c>
      <c r="J35" s="1">
        <v>1.5531904255319109</v>
      </c>
      <c r="K35" s="1">
        <v>12.097591151790292</v>
      </c>
      <c r="L35" s="1">
        <v>-6.1631947207965947</v>
      </c>
      <c r="V35">
        <f t="shared" si="0"/>
        <v>0.13305710040720475</v>
      </c>
    </row>
    <row r="36" spans="2:22">
      <c r="B36">
        <v>202110</v>
      </c>
      <c r="C36" s="1">
        <v>6.65</v>
      </c>
      <c r="D36" s="1">
        <v>-2.37</v>
      </c>
      <c r="E36" s="1">
        <v>-0.45</v>
      </c>
      <c r="F36" s="1">
        <v>0</v>
      </c>
      <c r="G36" s="1">
        <v>13.102527683310536</v>
      </c>
      <c r="H36" s="1">
        <v>-1.9300761427170208</v>
      </c>
      <c r="I36" s="1">
        <v>16.841594424847528</v>
      </c>
      <c r="J36" s="1">
        <v>25.277600306700197</v>
      </c>
      <c r="K36" s="1">
        <v>3.0289387480367949</v>
      </c>
      <c r="L36" s="1">
        <v>0.8544931700852354</v>
      </c>
      <c r="V36">
        <f t="shared" si="0"/>
        <v>8.0296714789836781</v>
      </c>
    </row>
    <row r="37" spans="2:22">
      <c r="B37">
        <v>202111</v>
      </c>
      <c r="C37" s="1">
        <v>-1.55</v>
      </c>
      <c r="D37" s="1">
        <v>-1.32</v>
      </c>
      <c r="E37" s="1">
        <v>-0.41</v>
      </c>
      <c r="F37" s="1">
        <v>0</v>
      </c>
      <c r="G37" s="1">
        <v>-7.0127876085027987</v>
      </c>
      <c r="H37" s="1">
        <v>-25.213673531571612</v>
      </c>
      <c r="I37" s="1">
        <v>31.722524368563803</v>
      </c>
      <c r="J37" s="1">
        <v>-13.370681942325676</v>
      </c>
      <c r="K37" s="1">
        <v>-8.4494711868236649</v>
      </c>
      <c r="L37" s="1">
        <v>-4.2669505528855511</v>
      </c>
      <c r="V37">
        <f t="shared" si="0"/>
        <v>-3.3312897278138038</v>
      </c>
    </row>
    <row r="38" spans="2:22">
      <c r="B38">
        <v>202112</v>
      </c>
      <c r="C38" s="1">
        <v>3.1</v>
      </c>
      <c r="D38" s="1">
        <v>-1.64</v>
      </c>
      <c r="E38" s="1">
        <v>3.22</v>
      </c>
      <c r="F38" s="1">
        <v>0.01</v>
      </c>
      <c r="G38" s="1">
        <v>-6.157378178007356</v>
      </c>
      <c r="H38" s="1">
        <v>-12.340828571428572</v>
      </c>
      <c r="I38" s="1">
        <v>-9.1468323905042723</v>
      </c>
      <c r="J38" s="1">
        <v>-15.878720383566028</v>
      </c>
      <c r="K38" s="1">
        <v>3.2250165738578458</v>
      </c>
      <c r="L38" s="1">
        <v>10.418088079123189</v>
      </c>
      <c r="V38">
        <f t="shared" si="0"/>
        <v>-0.23132785749805329</v>
      </c>
    </row>
    <row r="39" spans="2:22">
      <c r="B39">
        <v>202201</v>
      </c>
      <c r="C39" s="1">
        <v>-6.25</v>
      </c>
      <c r="D39" s="1">
        <v>-5.96</v>
      </c>
      <c r="E39" s="1">
        <v>12.8</v>
      </c>
      <c r="F39" s="1">
        <v>0</v>
      </c>
      <c r="G39" s="1">
        <v>-29.098331189501597</v>
      </c>
      <c r="H39" s="1">
        <v>2.6415111945370766</v>
      </c>
      <c r="I39" s="1">
        <v>-20.604583207974279</v>
      </c>
      <c r="J39" s="1">
        <v>-10.073435746974035</v>
      </c>
      <c r="K39" s="1">
        <v>18.433178874047059</v>
      </c>
      <c r="L39" s="1">
        <v>0.71316568372252753</v>
      </c>
      <c r="V39">
        <f t="shared" si="0"/>
        <v>-4.5319184517071092</v>
      </c>
    </row>
    <row r="40" spans="2:22">
      <c r="B40">
        <v>202202</v>
      </c>
      <c r="C40" s="1">
        <v>-2.29</v>
      </c>
      <c r="D40" s="1">
        <v>2.19</v>
      </c>
      <c r="E40" s="1">
        <v>3.1</v>
      </c>
      <c r="F40" s="1">
        <v>0</v>
      </c>
      <c r="G40" s="1">
        <v>-7.6368461990150918</v>
      </c>
      <c r="H40" s="1">
        <v>-13.33555982620322</v>
      </c>
      <c r="I40" s="1">
        <v>7.9562328227571113</v>
      </c>
      <c r="J40" s="1">
        <v>-3.9423272751592462</v>
      </c>
      <c r="K40" s="1">
        <v>1.9260641273905057</v>
      </c>
      <c r="L40" s="1">
        <v>-4.4808107842645768</v>
      </c>
      <c r="V40">
        <f t="shared" si="0"/>
        <v>-2.4322140379249646</v>
      </c>
    </row>
    <row r="41" spans="2:22">
      <c r="B41">
        <v>202203</v>
      </c>
      <c r="C41" s="1">
        <v>3.06</v>
      </c>
      <c r="D41" s="1">
        <v>-1.66</v>
      </c>
      <c r="E41" s="1">
        <v>-1.76</v>
      </c>
      <c r="F41" s="1">
        <v>0.01</v>
      </c>
      <c r="G41" s="1">
        <v>-5.0617067716941513</v>
      </c>
      <c r="H41" s="1">
        <v>-22.667153438928782</v>
      </c>
      <c r="I41" s="1">
        <v>-11.360738166069018</v>
      </c>
      <c r="J41" s="1">
        <v>11.213265888919294</v>
      </c>
      <c r="K41" s="1">
        <v>4.8382554847920431</v>
      </c>
      <c r="L41" s="1">
        <v>8.3740651661864174</v>
      </c>
      <c r="V41">
        <f t="shared" si="0"/>
        <v>1.8860635397698253</v>
      </c>
    </row>
    <row r="42" spans="2:22">
      <c r="B42">
        <v>202204</v>
      </c>
      <c r="C42" s="1">
        <v>-9.4600000000000009</v>
      </c>
      <c r="D42" s="1">
        <v>-1.38</v>
      </c>
      <c r="E42" s="1">
        <v>6.17</v>
      </c>
      <c r="F42" s="1">
        <v>0.01</v>
      </c>
      <c r="G42" s="1">
        <v>-49.191771261184449</v>
      </c>
      <c r="H42" s="1">
        <v>7.4195660077395829</v>
      </c>
      <c r="I42" s="1">
        <v>-21.795256878919218</v>
      </c>
      <c r="J42" s="1">
        <v>-12.799585927623257</v>
      </c>
      <c r="K42" s="1">
        <v>-2.7407482250136534</v>
      </c>
      <c r="L42" s="1">
        <v>1.81251237781339</v>
      </c>
      <c r="V42">
        <f t="shared" si="0"/>
        <v>-11.954344786864157</v>
      </c>
    </row>
    <row r="43" spans="2:22">
      <c r="B43">
        <v>202205</v>
      </c>
      <c r="C43" s="1">
        <v>-0.34</v>
      </c>
      <c r="D43" s="1">
        <v>-1.96</v>
      </c>
      <c r="E43" s="1">
        <v>8.59</v>
      </c>
      <c r="F43" s="1">
        <v>0.03</v>
      </c>
      <c r="G43" s="1">
        <v>3.6892692597222569</v>
      </c>
      <c r="H43" s="1">
        <v>16.818452077048029</v>
      </c>
      <c r="I43" s="1">
        <v>19.07664706875515</v>
      </c>
      <c r="J43" s="1">
        <v>-3.3437040026523981</v>
      </c>
      <c r="K43" s="1">
        <v>10.806610518435344</v>
      </c>
      <c r="L43" s="1">
        <v>-0.54539454784553798</v>
      </c>
      <c r="V43">
        <f t="shared" si="0"/>
        <v>4.5847663841611954</v>
      </c>
    </row>
    <row r="44" spans="2:22">
      <c r="B44">
        <v>202206</v>
      </c>
      <c r="C44" s="1">
        <v>-8.44</v>
      </c>
      <c r="D44" s="1">
        <v>2.1800000000000002</v>
      </c>
      <c r="E44" s="1">
        <v>-6.1</v>
      </c>
      <c r="F44" s="1">
        <v>0.06</v>
      </c>
      <c r="G44" s="1">
        <v>-11.491324337202958</v>
      </c>
      <c r="H44" s="1">
        <v>22.680817189307536</v>
      </c>
      <c r="I44" s="1">
        <v>-24.986369282089445</v>
      </c>
      <c r="J44" s="1">
        <v>-3.5722560046415999</v>
      </c>
      <c r="K44" s="1">
        <v>-11.762127461970165</v>
      </c>
      <c r="L44" s="1">
        <v>-0.5497687110637095</v>
      </c>
      <c r="V44">
        <f t="shared" si="0"/>
        <v>-7.378586237979917</v>
      </c>
    </row>
    <row r="45" spans="2:22">
      <c r="B45">
        <v>202207</v>
      </c>
      <c r="C45" s="1">
        <v>9.57</v>
      </c>
      <c r="D45" s="1">
        <v>2.8</v>
      </c>
      <c r="E45" s="1">
        <v>-4.03</v>
      </c>
      <c r="F45" s="1">
        <v>0.08</v>
      </c>
      <c r="G45" s="1">
        <v>28.529824687191194</v>
      </c>
      <c r="H45" s="1">
        <v>-20.77579483326528</v>
      </c>
      <c r="I45" s="1">
        <v>23.458642297127735</v>
      </c>
      <c r="J45" s="1">
        <v>45.479962376044149</v>
      </c>
      <c r="K45" s="1">
        <v>2.0045285506879287</v>
      </c>
      <c r="L45" s="1">
        <v>-1.7644163637726895</v>
      </c>
      <c r="V45">
        <f t="shared" si="0"/>
        <v>11.872494430791809</v>
      </c>
    </row>
    <row r="46" spans="2:22">
      <c r="B46">
        <v>202208</v>
      </c>
      <c r="C46" s="1">
        <v>-3.77</v>
      </c>
      <c r="D46" s="1">
        <v>1.4</v>
      </c>
      <c r="E46" s="1">
        <v>0.28999999999999998</v>
      </c>
      <c r="F46" s="1">
        <v>0.19</v>
      </c>
      <c r="G46" s="1">
        <v>-0.78581860193379338</v>
      </c>
      <c r="H46" s="1">
        <v>45.290526238748264</v>
      </c>
      <c r="I46" s="1">
        <v>-10.351953951921731</v>
      </c>
      <c r="J46" s="1">
        <v>28.427531080317248</v>
      </c>
      <c r="K46" s="1">
        <v>-0.93934618303960526</v>
      </c>
      <c r="L46" s="1">
        <v>-7.7421393033546666</v>
      </c>
      <c r="V46">
        <f t="shared" si="0"/>
        <v>1.0195374009073983</v>
      </c>
    </row>
    <row r="47" spans="2:22">
      <c r="B47">
        <v>202209</v>
      </c>
      <c r="C47" s="1">
        <v>-9.35</v>
      </c>
      <c r="D47" s="1">
        <v>-0.82</v>
      </c>
      <c r="E47" s="1">
        <v>0.02</v>
      </c>
      <c r="F47" s="1">
        <v>0.19</v>
      </c>
      <c r="G47" s="1">
        <v>5.1240114986044976</v>
      </c>
      <c r="H47" s="1">
        <v>-12.420014913183106</v>
      </c>
      <c r="I47" s="1">
        <v>-25.534646211453538</v>
      </c>
      <c r="J47" s="1">
        <v>3.5105103010464029</v>
      </c>
      <c r="K47" s="1">
        <v>-6.2677689694224128</v>
      </c>
      <c r="L47" s="1">
        <v>1.7423139794528377</v>
      </c>
      <c r="V47">
        <f t="shared" si="0"/>
        <v>-4.3899719272812989</v>
      </c>
    </row>
    <row r="48" spans="2:22">
      <c r="B48">
        <v>202210</v>
      </c>
      <c r="C48" s="1">
        <v>7.83</v>
      </c>
      <c r="D48" s="1">
        <v>7.0000000000000007E-2</v>
      </c>
      <c r="E48" s="1">
        <v>8.06</v>
      </c>
      <c r="F48" s="1">
        <v>0.23</v>
      </c>
      <c r="G48" s="1">
        <v>23.742138345462635</v>
      </c>
      <c r="H48" s="1">
        <v>-12.614147894402432</v>
      </c>
      <c r="I48" s="1">
        <v>-5.4383332511311</v>
      </c>
      <c r="J48" s="1">
        <v>9.8251921053846818</v>
      </c>
      <c r="K48" s="1">
        <v>11.566630297292207</v>
      </c>
      <c r="L48" s="1">
        <v>6.2648732339200617</v>
      </c>
      <c r="V48">
        <f t="shared" si="0"/>
        <v>8.5036362824329803</v>
      </c>
    </row>
    <row r="49" spans="2:22">
      <c r="B49">
        <v>202211</v>
      </c>
      <c r="C49" s="1">
        <v>4.6100000000000003</v>
      </c>
      <c r="D49" s="1">
        <v>-3.51</v>
      </c>
      <c r="E49" s="1">
        <v>1.41</v>
      </c>
      <c r="F49" s="1">
        <v>0.28999999999999998</v>
      </c>
      <c r="G49" s="1">
        <v>4.3865772804478311</v>
      </c>
      <c r="H49" s="1">
        <v>49.336113455184638</v>
      </c>
      <c r="I49" s="1">
        <v>28.964072106991814</v>
      </c>
      <c r="J49" s="1">
        <v>18.230293126042099</v>
      </c>
      <c r="K49" s="1">
        <v>4.8151589950537721</v>
      </c>
      <c r="L49" s="1">
        <v>2.0264828167857143</v>
      </c>
      <c r="V49">
        <f t="shared" si="0"/>
        <v>9.6349158103244736</v>
      </c>
    </row>
    <row r="50" spans="2:22">
      <c r="B50">
        <v>202212</v>
      </c>
      <c r="C50" s="1">
        <v>-6.41</v>
      </c>
      <c r="D50" s="1">
        <v>-0.69</v>
      </c>
      <c r="E50" s="1">
        <v>1.34</v>
      </c>
      <c r="F50" s="1">
        <v>0.33</v>
      </c>
      <c r="G50" s="1">
        <v>-3.8157441281895186</v>
      </c>
      <c r="H50" s="1">
        <v>-0.92726717945798165</v>
      </c>
      <c r="I50" s="1">
        <v>-16.89576129972026</v>
      </c>
      <c r="J50" s="1">
        <v>-13.510320020751864</v>
      </c>
      <c r="K50" s="1">
        <v>-2.9296236942085963</v>
      </c>
      <c r="L50" s="1">
        <v>-0.44785431311566176</v>
      </c>
      <c r="V50">
        <f t="shared" si="0"/>
        <v>-5.4540013901952946</v>
      </c>
    </row>
    <row r="51" spans="2:22">
      <c r="B51">
        <v>202301</v>
      </c>
      <c r="C51" s="1">
        <v>6.64</v>
      </c>
      <c r="D51" s="1">
        <v>5.01</v>
      </c>
      <c r="E51" s="1">
        <v>-4</v>
      </c>
      <c r="F51" s="1">
        <v>0.35</v>
      </c>
      <c r="G51" s="1">
        <v>19.651349362429649</v>
      </c>
      <c r="H51" s="1">
        <v>19.797148247192574</v>
      </c>
      <c r="I51" s="1">
        <v>15.675946396137698</v>
      </c>
      <c r="J51" s="1">
        <v>18.216001935790192</v>
      </c>
      <c r="K51" s="1">
        <v>2.9160227696923124</v>
      </c>
      <c r="L51" s="1">
        <v>-7.8393957020915721</v>
      </c>
      <c r="V51">
        <f t="shared" si="0"/>
        <v>6.9338739237421274</v>
      </c>
    </row>
    <row r="52" spans="2:22">
      <c r="B52">
        <v>202302</v>
      </c>
      <c r="C52" s="1">
        <v>-2.59</v>
      </c>
      <c r="D52" s="1">
        <v>1.17</v>
      </c>
      <c r="E52" s="1">
        <v>-0.83</v>
      </c>
      <c r="F52" s="1">
        <v>0.34</v>
      </c>
      <c r="G52" s="1">
        <v>-9.3068177655068887</v>
      </c>
      <c r="H52" s="1">
        <v>-10.801318316146613</v>
      </c>
      <c r="I52" s="1">
        <v>4.2242048020171614</v>
      </c>
      <c r="J52" s="1">
        <v>-5.1035172940253268</v>
      </c>
      <c r="K52" s="1">
        <v>2.9927647792422305</v>
      </c>
      <c r="L52" s="1">
        <v>-6.5571047925762116</v>
      </c>
      <c r="V52">
        <f t="shared" si="0"/>
        <v>-3.3911359490159687</v>
      </c>
    </row>
    <row r="53" spans="2:22">
      <c r="B53">
        <v>202303</v>
      </c>
      <c r="C53" s="1">
        <v>2.5099999999999998</v>
      </c>
      <c r="D53" s="1">
        <v>-5.51</v>
      </c>
      <c r="E53" s="1">
        <v>-8.8699999999999992</v>
      </c>
      <c r="F53" s="1">
        <v>0.36</v>
      </c>
      <c r="G53" s="1">
        <v>6.8886280810755292</v>
      </c>
      <c r="H53" s="1">
        <v>-13.844555563049502</v>
      </c>
      <c r="I53" s="1">
        <v>24.366392855016734</v>
      </c>
      <c r="J53" s="1">
        <v>28.231699944375677</v>
      </c>
      <c r="K53" s="1">
        <v>-5.6751209478361142</v>
      </c>
      <c r="L53" s="1">
        <v>1.5027381608878003</v>
      </c>
      <c r="V53">
        <f t="shared" si="0"/>
        <v>5.3950796730697572</v>
      </c>
    </row>
    <row r="54" spans="2:22">
      <c r="B54">
        <v>202304</v>
      </c>
      <c r="C54" s="1">
        <v>0.61</v>
      </c>
      <c r="D54" s="1">
        <v>-3.36</v>
      </c>
      <c r="E54" s="1">
        <v>-0.05</v>
      </c>
      <c r="F54" s="1">
        <v>0.35</v>
      </c>
      <c r="G54" s="1">
        <v>-4.8509892048428718</v>
      </c>
      <c r="H54" s="1">
        <v>-10.560803420005179</v>
      </c>
      <c r="I54" s="1">
        <v>-9.165425797052837</v>
      </c>
      <c r="J54" s="1">
        <v>-16.405171494252873</v>
      </c>
      <c r="K54" s="1">
        <v>7.366369347994973</v>
      </c>
      <c r="L54" s="1">
        <v>5.2628991494739825</v>
      </c>
      <c r="V54">
        <f t="shared" si="0"/>
        <v>-0.93571278742426012</v>
      </c>
    </row>
    <row r="55" spans="2:22">
      <c r="B55">
        <v>202305</v>
      </c>
      <c r="C55" s="1">
        <v>0.35</v>
      </c>
      <c r="D55" s="1">
        <v>1.6</v>
      </c>
      <c r="E55" s="1">
        <v>-7.74</v>
      </c>
      <c r="F55" s="1">
        <v>0.36</v>
      </c>
      <c r="G55" s="1">
        <v>19.432082982889028</v>
      </c>
      <c r="H55" s="1">
        <v>-4.5126073616256202</v>
      </c>
      <c r="I55" s="1">
        <v>31.910331243023457</v>
      </c>
      <c r="J55" s="1">
        <v>10.802232871483911</v>
      </c>
      <c r="K55" s="1">
        <v>-10.00827363665698</v>
      </c>
      <c r="L55" s="1">
        <v>-5.637951514745061</v>
      </c>
      <c r="V55">
        <f t="shared" si="0"/>
        <v>3.5612338427268768</v>
      </c>
    </row>
    <row r="56" spans="2:22">
      <c r="B56">
        <v>202306</v>
      </c>
      <c r="C56" s="1">
        <v>6.47</v>
      </c>
      <c r="D56" s="1">
        <v>1.55</v>
      </c>
      <c r="E56" s="1">
        <v>-0.2</v>
      </c>
      <c r="F56" s="1">
        <v>0.4</v>
      </c>
      <c r="G56" s="1">
        <v>11.051554219145567</v>
      </c>
      <c r="H56" s="1">
        <v>5.4481307409675601</v>
      </c>
      <c r="I56" s="1">
        <v>-4.0375899131849211</v>
      </c>
      <c r="J56" s="1">
        <v>-6.7411561667910167</v>
      </c>
      <c r="K56" s="1">
        <v>7.4214303571428566</v>
      </c>
      <c r="L56" s="1">
        <v>7.1511713840834989</v>
      </c>
      <c r="V56">
        <f t="shared" si="0"/>
        <v>5.051634109795736</v>
      </c>
    </row>
    <row r="57" spans="2:22">
      <c r="B57">
        <v>202307</v>
      </c>
      <c r="C57" s="1">
        <v>3.21</v>
      </c>
      <c r="D57" s="1">
        <v>2.0499999999999998</v>
      </c>
      <c r="E57" s="1">
        <v>4.1100000000000003</v>
      </c>
      <c r="F57" s="1">
        <v>0.45</v>
      </c>
      <c r="G57" s="1">
        <v>-0.79506777327674416</v>
      </c>
      <c r="H57" s="1">
        <v>29.460328751957299</v>
      </c>
      <c r="I57" s="1">
        <v>-1.9837606186020484E-2</v>
      </c>
      <c r="J57" s="1">
        <v>8.6562119860321207</v>
      </c>
      <c r="K57" s="1">
        <v>1.6202218935041088</v>
      </c>
      <c r="L57" s="1">
        <v>0.76434880720603371</v>
      </c>
      <c r="V57">
        <f t="shared" si="0"/>
        <v>3.1157385015196017</v>
      </c>
    </row>
    <row r="58" spans="2:22">
      <c r="B58">
        <v>202308</v>
      </c>
      <c r="C58" s="1">
        <v>-2.39</v>
      </c>
      <c r="D58" s="1">
        <v>-3.2</v>
      </c>
      <c r="E58" s="1">
        <v>-1.08</v>
      </c>
      <c r="F58" s="1">
        <v>0.45</v>
      </c>
      <c r="G58" s="1">
        <v>-1.6550955618718919</v>
      </c>
      <c r="H58" s="1">
        <v>9.737041861500785</v>
      </c>
      <c r="I58" s="1">
        <v>-8.0374133288913789</v>
      </c>
      <c r="J58" s="1">
        <v>-9.2638859830439539</v>
      </c>
      <c r="K58" s="1">
        <v>0.29638811055674541</v>
      </c>
      <c r="L58" s="1">
        <v>-3.9419070449804803</v>
      </c>
      <c r="V58">
        <f t="shared" si="0"/>
        <v>-2.8838763943343269</v>
      </c>
    </row>
    <row r="59" spans="2:22">
      <c r="B59">
        <v>202309</v>
      </c>
      <c r="C59" s="1">
        <v>-5.24</v>
      </c>
      <c r="D59" s="1">
        <v>-2.4900000000000002</v>
      </c>
      <c r="E59" s="1">
        <v>1.45</v>
      </c>
      <c r="F59" s="1">
        <v>0.43</v>
      </c>
      <c r="G59" s="1">
        <v>-13.361190717852647</v>
      </c>
      <c r="H59" s="1">
        <v>-1.3393674759081826</v>
      </c>
      <c r="I59" s="1">
        <v>-3.1730958877875941</v>
      </c>
      <c r="J59" s="1">
        <v>-14.986894949156474</v>
      </c>
      <c r="K59" s="1">
        <v>3.2581897245933309</v>
      </c>
      <c r="L59" s="1">
        <v>-3.398305723837872</v>
      </c>
      <c r="V59">
        <f t="shared" si="0"/>
        <v>-4.9826347069258849</v>
      </c>
    </row>
    <row r="60" spans="2:22">
      <c r="B60">
        <v>202310</v>
      </c>
      <c r="C60" s="1">
        <v>-3.18</v>
      </c>
      <c r="D60" s="1">
        <v>-3.88</v>
      </c>
      <c r="E60" s="1">
        <v>0.19</v>
      </c>
      <c r="F60" s="1">
        <v>0.47</v>
      </c>
      <c r="G60" s="1">
        <v>8.5580708311217499</v>
      </c>
      <c r="H60" s="1">
        <v>2.9459253594371515</v>
      </c>
      <c r="I60" s="1">
        <v>-4.6715172145496924</v>
      </c>
      <c r="J60" s="1">
        <v>-12.314792050121726</v>
      </c>
      <c r="K60" s="1">
        <v>0.71049399722712026</v>
      </c>
      <c r="L60" s="1">
        <v>-5.2276485866718359</v>
      </c>
      <c r="V60">
        <f t="shared" si="0"/>
        <v>-2.0844250244620817</v>
      </c>
    </row>
    <row r="61" spans="2:22">
      <c r="B61">
        <v>202311</v>
      </c>
      <c r="C61" s="1">
        <v>8.83</v>
      </c>
      <c r="D61" s="1">
        <v>-0.03</v>
      </c>
      <c r="E61" s="1">
        <v>1.66</v>
      </c>
      <c r="F61" s="1">
        <v>0.44</v>
      </c>
      <c r="G61" s="1">
        <v>14.68788717176572</v>
      </c>
      <c r="H61" s="1">
        <v>44.935670388003736</v>
      </c>
      <c r="I61" s="1">
        <v>22.565080203045685</v>
      </c>
      <c r="J61" s="1">
        <v>10.321672392313218</v>
      </c>
      <c r="K61" s="1">
        <v>0.5732084896102021</v>
      </c>
      <c r="L61" s="1">
        <v>3.8205002701195272</v>
      </c>
      <c r="V61">
        <f t="shared" si="0"/>
        <v>9.8920072371808008</v>
      </c>
    </row>
    <row r="62" spans="2:22">
      <c r="B62">
        <v>202312</v>
      </c>
      <c r="C62" s="1">
        <v>4.87</v>
      </c>
      <c r="D62" s="1">
        <v>6.36</v>
      </c>
      <c r="E62" s="1">
        <v>4.92</v>
      </c>
      <c r="F62" s="1">
        <v>0.43</v>
      </c>
      <c r="G62" s="1">
        <v>2.2938019226453021</v>
      </c>
      <c r="H62" s="1">
        <v>-1.1964161588928799</v>
      </c>
      <c r="I62" s="1">
        <v>21.235565478191951</v>
      </c>
      <c r="J62" s="1">
        <v>8.7600114665357562</v>
      </c>
      <c r="K62" s="1">
        <v>-0.43</v>
      </c>
      <c r="L62" s="1">
        <v>1.7264678787846293</v>
      </c>
      <c r="V62">
        <f t="shared" si="0"/>
        <v>4.452811171784659</v>
      </c>
    </row>
    <row r="66" spans="2:17">
      <c r="B66" t="s">
        <v>6</v>
      </c>
      <c r="F66" t="s">
        <v>32</v>
      </c>
      <c r="G66" t="s">
        <v>101</v>
      </c>
      <c r="L66" t="s">
        <v>7</v>
      </c>
      <c r="P66" t="s">
        <v>32</v>
      </c>
      <c r="Q66" t="s">
        <v>100</v>
      </c>
    </row>
    <row r="67" spans="2:17">
      <c r="F67" t="s">
        <v>61</v>
      </c>
      <c r="G67" t="s">
        <v>103</v>
      </c>
      <c r="P67" t="s">
        <v>61</v>
      </c>
      <c r="Q67" t="s">
        <v>103</v>
      </c>
    </row>
    <row r="68" spans="2:17">
      <c r="B68" t="s">
        <v>59</v>
      </c>
      <c r="F68" t="s">
        <v>62</v>
      </c>
      <c r="G68" t="s">
        <v>102</v>
      </c>
      <c r="L68" t="s">
        <v>59</v>
      </c>
      <c r="P68" t="s">
        <v>62</v>
      </c>
      <c r="Q68" t="s">
        <v>103</v>
      </c>
    </row>
    <row r="69" spans="2:17" ht="15" thickBot="1"/>
    <row r="70" spans="2:17">
      <c r="B70" s="16" t="s">
        <v>10</v>
      </c>
      <c r="C70" s="16"/>
      <c r="L70" s="16" t="s">
        <v>10</v>
      </c>
      <c r="M70" s="16"/>
    </row>
    <row r="71" spans="2:17">
      <c r="B71" t="s">
        <v>11</v>
      </c>
      <c r="C71">
        <v>0.69346290199021221</v>
      </c>
      <c r="L71" t="s">
        <v>11</v>
      </c>
      <c r="M71">
        <v>0.34499453804353752</v>
      </c>
    </row>
    <row r="72" spans="2:17">
      <c r="B72" t="s">
        <v>12</v>
      </c>
      <c r="C72">
        <v>0.4808907964366867</v>
      </c>
      <c r="L72" t="s">
        <v>12</v>
      </c>
      <c r="M72">
        <v>0.11902123127987385</v>
      </c>
    </row>
    <row r="73" spans="2:17">
      <c r="B73" t="s">
        <v>13</v>
      </c>
      <c r="C73">
        <v>0.45308137481722349</v>
      </c>
      <c r="L73" t="s">
        <v>13</v>
      </c>
      <c r="M73">
        <v>7.1825940098438526E-2</v>
      </c>
    </row>
    <row r="74" spans="2:17">
      <c r="B74" t="s">
        <v>14</v>
      </c>
      <c r="C74">
        <v>8.9598497592486588</v>
      </c>
      <c r="L74" t="s">
        <v>14</v>
      </c>
      <c r="M74">
        <v>19.544076383899554</v>
      </c>
    </row>
    <row r="75" spans="2:17" ht="15" thickBot="1">
      <c r="B75" s="14" t="s">
        <v>15</v>
      </c>
      <c r="C75" s="14">
        <v>60</v>
      </c>
      <c r="L75" s="14" t="s">
        <v>15</v>
      </c>
      <c r="M75" s="14">
        <v>60</v>
      </c>
    </row>
    <row r="77" spans="2:17" ht="15" thickBot="1">
      <c r="B77" t="s">
        <v>16</v>
      </c>
      <c r="L77" t="s">
        <v>16</v>
      </c>
    </row>
    <row r="78" spans="2:17">
      <c r="B78" s="15"/>
      <c r="C78" s="15" t="s">
        <v>20</v>
      </c>
      <c r="D78" s="15" t="s">
        <v>21</v>
      </c>
      <c r="E78" s="15" t="s">
        <v>22</v>
      </c>
      <c r="F78" s="15" t="s">
        <v>23</v>
      </c>
      <c r="G78" s="15" t="s">
        <v>24</v>
      </c>
      <c r="L78" s="15"/>
      <c r="M78" s="15" t="s">
        <v>20</v>
      </c>
      <c r="N78" s="15" t="s">
        <v>21</v>
      </c>
      <c r="O78" s="15" t="s">
        <v>22</v>
      </c>
      <c r="P78" s="15" t="s">
        <v>23</v>
      </c>
      <c r="Q78" s="15" t="s">
        <v>24</v>
      </c>
    </row>
    <row r="79" spans="2:17">
      <c r="B79" t="s">
        <v>17</v>
      </c>
      <c r="C79">
        <v>3</v>
      </c>
      <c r="D79">
        <v>4164.6376245987667</v>
      </c>
      <c r="E79">
        <v>1388.2125415329222</v>
      </c>
      <c r="F79">
        <v>17.292369579528458</v>
      </c>
      <c r="G79">
        <v>4.5490694146189504E-8</v>
      </c>
      <c r="L79" t="s">
        <v>17</v>
      </c>
      <c r="M79">
        <v>3</v>
      </c>
      <c r="N79">
        <v>2889.8634763603113</v>
      </c>
      <c r="O79">
        <v>963.28782545343711</v>
      </c>
      <c r="P79">
        <v>2.5218878472921018</v>
      </c>
      <c r="Q79">
        <v>6.7009550523489531E-2</v>
      </c>
    </row>
    <row r="80" spans="2:17">
      <c r="B80" t="s">
        <v>18</v>
      </c>
      <c r="C80">
        <v>56</v>
      </c>
      <c r="D80">
        <v>4495.6188316652624</v>
      </c>
      <c r="E80">
        <v>80.278907708308253</v>
      </c>
      <c r="L80" t="s">
        <v>18</v>
      </c>
      <c r="M80">
        <v>56</v>
      </c>
      <c r="N80">
        <v>21390.371615183216</v>
      </c>
      <c r="O80">
        <v>381.97092169970028</v>
      </c>
    </row>
    <row r="81" spans="2:20" ht="15" thickBot="1">
      <c r="B81" s="14" t="s">
        <v>19</v>
      </c>
      <c r="C81" s="14">
        <v>59</v>
      </c>
      <c r="D81" s="14">
        <v>8660.2564562640291</v>
      </c>
      <c r="E81" s="14"/>
      <c r="F81" s="14"/>
      <c r="G81" s="14"/>
      <c r="L81" s="14" t="s">
        <v>19</v>
      </c>
      <c r="M81" s="14">
        <v>59</v>
      </c>
      <c r="N81" s="14">
        <v>24280.235091543527</v>
      </c>
      <c r="O81" s="14"/>
      <c r="P81" s="14"/>
      <c r="Q81" s="14"/>
    </row>
    <row r="82" spans="2:20" ht="15" thickBot="1"/>
    <row r="83" spans="2:20">
      <c r="B83" s="15"/>
      <c r="C83" s="15" t="s">
        <v>25</v>
      </c>
      <c r="D83" s="15" t="s">
        <v>14</v>
      </c>
      <c r="E83" s="15" t="s">
        <v>26</v>
      </c>
      <c r="F83" s="15" t="s">
        <v>27</v>
      </c>
      <c r="G83" s="15" t="s">
        <v>28</v>
      </c>
      <c r="H83" s="15" t="s">
        <v>29</v>
      </c>
      <c r="I83" s="15" t="s">
        <v>30</v>
      </c>
      <c r="J83" s="15" t="s">
        <v>31</v>
      </c>
      <c r="L83" s="15"/>
      <c r="M83" s="15" t="s">
        <v>25</v>
      </c>
      <c r="N83" s="15" t="s">
        <v>14</v>
      </c>
      <c r="O83" s="15" t="s">
        <v>26</v>
      </c>
      <c r="P83" s="15" t="s">
        <v>27</v>
      </c>
      <c r="Q83" s="15" t="s">
        <v>28</v>
      </c>
      <c r="R83" s="15" t="s">
        <v>29</v>
      </c>
      <c r="S83" s="15" t="s">
        <v>30</v>
      </c>
      <c r="T83" s="15" t="s">
        <v>31</v>
      </c>
    </row>
    <row r="84" spans="2:20">
      <c r="B84" t="s">
        <v>60</v>
      </c>
      <c r="C84">
        <v>0.23475665503568088</v>
      </c>
      <c r="D84">
        <v>1.1883015265254286</v>
      </c>
      <c r="E84">
        <v>0.19755647013439842</v>
      </c>
      <c r="F84">
        <v>0.84410744239849422</v>
      </c>
      <c r="G84">
        <v>-2.1456973491691436</v>
      </c>
      <c r="H84">
        <v>2.6152106592405051</v>
      </c>
      <c r="I84">
        <v>-2.1456973491691436</v>
      </c>
      <c r="J84">
        <v>2.6152106592405051</v>
      </c>
      <c r="L84" t="s">
        <v>60</v>
      </c>
      <c r="M84">
        <v>4.278071820445045</v>
      </c>
      <c r="N84">
        <v>2.592036298102494</v>
      </c>
      <c r="O84">
        <v>1.6504675584893689</v>
      </c>
      <c r="P84">
        <v>0.10444556790792155</v>
      </c>
      <c r="Q84">
        <v>-0.91440083664557381</v>
      </c>
      <c r="R84">
        <v>9.4705444775356646</v>
      </c>
      <c r="S84">
        <v>-0.91440083664557381</v>
      </c>
      <c r="T84">
        <v>9.4705444775356646</v>
      </c>
    </row>
    <row r="85" spans="2:20">
      <c r="B85" t="s">
        <v>69</v>
      </c>
      <c r="C85" s="17">
        <v>1.2251804082997846</v>
      </c>
      <c r="D85">
        <v>0.22264244544801359</v>
      </c>
      <c r="E85">
        <v>5.5029058175964964</v>
      </c>
      <c r="F85">
        <v>9.635214316664632E-7</v>
      </c>
      <c r="G85">
        <v>0.77917399583445757</v>
      </c>
      <c r="H85">
        <v>1.6711868207651115</v>
      </c>
      <c r="I85">
        <v>0.77917399583445757</v>
      </c>
      <c r="J85">
        <v>1.6711868207651115</v>
      </c>
      <c r="L85" t="s">
        <v>69</v>
      </c>
      <c r="M85" s="17">
        <v>0.55338107901629185</v>
      </c>
      <c r="N85">
        <v>0.48564887548952107</v>
      </c>
      <c r="O85">
        <v>1.1394674361358266</v>
      </c>
      <c r="P85">
        <v>0.25935886089696736</v>
      </c>
      <c r="Q85">
        <v>-0.41949052342699733</v>
      </c>
      <c r="R85">
        <v>1.5262526814595812</v>
      </c>
      <c r="S85">
        <v>-0.41949052342699733</v>
      </c>
      <c r="T85">
        <v>1.5262526814595812</v>
      </c>
    </row>
    <row r="86" spans="2:20">
      <c r="B86" t="s">
        <v>61</v>
      </c>
      <c r="C86" s="17">
        <v>0.55762520118829006</v>
      </c>
      <c r="D86">
        <v>0.42444304627350715</v>
      </c>
      <c r="E86">
        <v>1.3137809797665092</v>
      </c>
      <c r="F86">
        <v>0.19427677925054551</v>
      </c>
      <c r="G86">
        <v>-0.29263639193863134</v>
      </c>
      <c r="H86">
        <v>1.4078867943152114</v>
      </c>
      <c r="I86">
        <v>-0.29263639193863134</v>
      </c>
      <c r="J86">
        <v>1.4078867943152114</v>
      </c>
      <c r="L86" t="s">
        <v>61</v>
      </c>
      <c r="M86" s="17">
        <v>1.8379977955622013</v>
      </c>
      <c r="N86">
        <v>0.92583553741196378</v>
      </c>
      <c r="O86">
        <v>1.9852314166942135</v>
      </c>
      <c r="P86">
        <v>5.2024476932089031E-2</v>
      </c>
      <c r="Q86">
        <v>-1.6673651937847422E-2</v>
      </c>
      <c r="R86">
        <v>3.6926692430622499</v>
      </c>
      <c r="S86">
        <v>-1.6673651937847422E-2</v>
      </c>
      <c r="T86">
        <v>3.6926692430622499</v>
      </c>
    </row>
    <row r="87" spans="2:20" ht="15" thickBot="1">
      <c r="B87" s="14" t="s">
        <v>62</v>
      </c>
      <c r="C87" s="35">
        <v>-0.91237140474154843</v>
      </c>
      <c r="D87" s="14">
        <v>0.2481550738497067</v>
      </c>
      <c r="E87" s="14">
        <v>-3.6766179735422999</v>
      </c>
      <c r="F87" s="14">
        <v>5.3113890149348447E-4</v>
      </c>
      <c r="G87" s="14">
        <v>-1.4094857532659817</v>
      </c>
      <c r="H87" s="14">
        <v>-0.41525705621711506</v>
      </c>
      <c r="I87" s="14">
        <v>-1.4094857532659817</v>
      </c>
      <c r="J87" s="14">
        <v>-0.41525705621711506</v>
      </c>
      <c r="L87" s="14" t="s">
        <v>62</v>
      </c>
      <c r="M87" s="35">
        <v>-0.1627982642720725</v>
      </c>
      <c r="N87" s="14">
        <v>0.541299446831082</v>
      </c>
      <c r="O87" s="14">
        <v>-0.3007545365603807</v>
      </c>
      <c r="P87" s="14">
        <v>0.76471548322998906</v>
      </c>
      <c r="Q87" s="14">
        <v>-1.247151357253925</v>
      </c>
      <c r="R87" s="14">
        <v>0.92155482870978012</v>
      </c>
      <c r="S87" s="14">
        <v>-1.247151357253925</v>
      </c>
      <c r="T87" s="14">
        <v>0.92155482870978012</v>
      </c>
    </row>
    <row r="91" spans="2:20">
      <c r="B91" t="s">
        <v>33</v>
      </c>
      <c r="F91" t="s">
        <v>32</v>
      </c>
      <c r="G91" t="s">
        <v>101</v>
      </c>
      <c r="L91" t="s">
        <v>8</v>
      </c>
      <c r="P91" t="s">
        <v>32</v>
      </c>
      <c r="Q91" t="s">
        <v>101</v>
      </c>
    </row>
    <row r="92" spans="2:20">
      <c r="F92" t="s">
        <v>61</v>
      </c>
      <c r="G92" t="s">
        <v>103</v>
      </c>
      <c r="P92" t="s">
        <v>61</v>
      </c>
      <c r="Q92" t="s">
        <v>103</v>
      </c>
    </row>
    <row r="93" spans="2:20">
      <c r="B93" t="s">
        <v>59</v>
      </c>
      <c r="F93" t="s">
        <v>62</v>
      </c>
      <c r="G93" t="s">
        <v>102</v>
      </c>
      <c r="L93" t="s">
        <v>59</v>
      </c>
      <c r="P93" t="s">
        <v>62</v>
      </c>
      <c r="Q93" t="s">
        <v>103</v>
      </c>
    </row>
    <row r="94" spans="2:20" ht="15" thickBot="1"/>
    <row r="95" spans="2:20">
      <c r="B95" s="16" t="s">
        <v>10</v>
      </c>
      <c r="C95" s="16"/>
      <c r="L95" s="16" t="s">
        <v>10</v>
      </c>
      <c r="M95" s="16"/>
    </row>
    <row r="96" spans="2:20">
      <c r="B96" t="s">
        <v>11</v>
      </c>
      <c r="C96">
        <v>0.66524225055712682</v>
      </c>
      <c r="L96" t="s">
        <v>11</v>
      </c>
      <c r="M96">
        <v>0.59773395983116961</v>
      </c>
    </row>
    <row r="97" spans="2:20">
      <c r="B97" t="s">
        <v>12</v>
      </c>
      <c r="C97">
        <v>0.44254725192631117</v>
      </c>
      <c r="L97" t="s">
        <v>12</v>
      </c>
      <c r="M97">
        <v>0.35728588673545031</v>
      </c>
    </row>
    <row r="98" spans="2:20">
      <c r="B98" t="s">
        <v>13</v>
      </c>
      <c r="C98">
        <v>0.412683711850935</v>
      </c>
      <c r="L98" t="s">
        <v>13</v>
      </c>
      <c r="M98">
        <v>0.32285477352484943</v>
      </c>
    </row>
    <row r="99" spans="2:20">
      <c r="B99" t="s">
        <v>14</v>
      </c>
      <c r="C99">
        <v>11.823162282107948</v>
      </c>
      <c r="L99" t="s">
        <v>14</v>
      </c>
      <c r="M99">
        <v>11.969775031982364</v>
      </c>
    </row>
    <row r="100" spans="2:20" ht="15" thickBot="1">
      <c r="B100" s="14" t="s">
        <v>15</v>
      </c>
      <c r="C100" s="14">
        <v>60</v>
      </c>
      <c r="L100" s="14" t="s">
        <v>15</v>
      </c>
      <c r="M100" s="14">
        <v>60</v>
      </c>
    </row>
    <row r="102" spans="2:20" ht="15" thickBot="1">
      <c r="B102" t="s">
        <v>16</v>
      </c>
      <c r="L102" t="s">
        <v>16</v>
      </c>
    </row>
    <row r="103" spans="2:20">
      <c r="B103" s="15"/>
      <c r="C103" s="15" t="s">
        <v>20</v>
      </c>
      <c r="D103" s="15" t="s">
        <v>21</v>
      </c>
      <c r="E103" s="15" t="s">
        <v>22</v>
      </c>
      <c r="F103" s="15" t="s">
        <v>23</v>
      </c>
      <c r="G103" s="15" t="s">
        <v>24</v>
      </c>
      <c r="L103" s="15"/>
      <c r="M103" s="15" t="s">
        <v>20</v>
      </c>
      <c r="N103" s="15" t="s">
        <v>21</v>
      </c>
      <c r="O103" s="15" t="s">
        <v>22</v>
      </c>
      <c r="P103" s="15" t="s">
        <v>23</v>
      </c>
      <c r="Q103" s="15" t="s">
        <v>24</v>
      </c>
    </row>
    <row r="104" spans="2:20">
      <c r="B104" t="s">
        <v>17</v>
      </c>
      <c r="C104">
        <v>3</v>
      </c>
      <c r="D104">
        <v>6214.5103527110914</v>
      </c>
      <c r="E104">
        <v>2071.5034509036973</v>
      </c>
      <c r="F104">
        <v>14.818981634773133</v>
      </c>
      <c r="G104">
        <v>3.2191092177226906E-7</v>
      </c>
      <c r="L104" t="s">
        <v>17</v>
      </c>
      <c r="M104">
        <v>3</v>
      </c>
      <c r="N104">
        <v>4460.2379423681987</v>
      </c>
      <c r="O104">
        <v>1486.7459807893995</v>
      </c>
      <c r="P104">
        <v>10.376832272313715</v>
      </c>
      <c r="Q104">
        <v>1.5692524003456503E-5</v>
      </c>
    </row>
    <row r="105" spans="2:20">
      <c r="B105" t="s">
        <v>18</v>
      </c>
      <c r="C105">
        <v>56</v>
      </c>
      <c r="D105">
        <v>7828.0813155473606</v>
      </c>
      <c r="E105">
        <v>139.78716634906002</v>
      </c>
      <c r="L105" t="s">
        <v>18</v>
      </c>
      <c r="M105">
        <v>56</v>
      </c>
      <c r="N105">
        <v>8023.4288017110293</v>
      </c>
      <c r="O105">
        <v>143.27551431626839</v>
      </c>
    </row>
    <row r="106" spans="2:20" ht="15" thickBot="1">
      <c r="B106" s="14" t="s">
        <v>19</v>
      </c>
      <c r="C106" s="14">
        <v>59</v>
      </c>
      <c r="D106" s="14">
        <v>14042.591668258452</v>
      </c>
      <c r="E106" s="14"/>
      <c r="F106" s="14"/>
      <c r="G106" s="14"/>
      <c r="L106" s="14" t="s">
        <v>19</v>
      </c>
      <c r="M106" s="14">
        <v>59</v>
      </c>
      <c r="N106" s="14">
        <v>12483.666744079228</v>
      </c>
      <c r="O106" s="14"/>
      <c r="P106" s="14"/>
      <c r="Q106" s="14"/>
    </row>
    <row r="107" spans="2:20" ht="15" thickBot="1"/>
    <row r="108" spans="2:20">
      <c r="B108" s="15"/>
      <c r="C108" s="15" t="s">
        <v>25</v>
      </c>
      <c r="D108" s="15" t="s">
        <v>14</v>
      </c>
      <c r="E108" s="15" t="s">
        <v>26</v>
      </c>
      <c r="F108" s="15" t="s">
        <v>27</v>
      </c>
      <c r="G108" s="15" t="s">
        <v>28</v>
      </c>
      <c r="H108" s="15" t="s">
        <v>29</v>
      </c>
      <c r="I108" s="15" t="s">
        <v>30</v>
      </c>
      <c r="J108" s="15" t="s">
        <v>31</v>
      </c>
      <c r="L108" s="15"/>
      <c r="M108" s="15" t="s">
        <v>25</v>
      </c>
      <c r="N108" s="15" t="s">
        <v>14</v>
      </c>
      <c r="O108" s="15" t="s">
        <v>26</v>
      </c>
      <c r="P108" s="15" t="s">
        <v>27</v>
      </c>
      <c r="Q108" s="15" t="s">
        <v>28</v>
      </c>
      <c r="R108" s="15" t="s">
        <v>29</v>
      </c>
      <c r="S108" s="15" t="s">
        <v>30</v>
      </c>
      <c r="T108" s="15" t="s">
        <v>31</v>
      </c>
    </row>
    <row r="109" spans="2:20">
      <c r="B109" t="s">
        <v>60</v>
      </c>
      <c r="C109" s="47">
        <v>2.3259855209196316</v>
      </c>
      <c r="D109">
        <v>1.5680488139529791</v>
      </c>
      <c r="E109">
        <v>1.4833629541518729</v>
      </c>
      <c r="F109">
        <v>0.14358463732741994</v>
      </c>
      <c r="G109">
        <v>-0.81519371233208826</v>
      </c>
      <c r="H109">
        <v>5.4671647541713515</v>
      </c>
      <c r="I109">
        <v>-0.81519371233208826</v>
      </c>
      <c r="J109">
        <v>5.4671647541713515</v>
      </c>
      <c r="L109" t="s">
        <v>60</v>
      </c>
      <c r="M109">
        <v>1.6196637265136942</v>
      </c>
      <c r="N109">
        <v>1.5874933536679472</v>
      </c>
      <c r="O109">
        <v>1.0202648866349056</v>
      </c>
      <c r="P109">
        <v>0.31199042114937492</v>
      </c>
      <c r="Q109">
        <v>-1.5604676004543045</v>
      </c>
      <c r="R109">
        <v>4.7997950534816933</v>
      </c>
      <c r="S109">
        <v>-1.5604676004543045</v>
      </c>
      <c r="T109">
        <v>4.7997950534816933</v>
      </c>
    </row>
    <row r="110" spans="2:20">
      <c r="B110" t="s">
        <v>69</v>
      </c>
      <c r="C110" s="17">
        <v>1.7769336219057603</v>
      </c>
      <c r="D110">
        <v>0.29379262310732862</v>
      </c>
      <c r="E110">
        <v>6.0482581322561293</v>
      </c>
      <c r="F110">
        <v>1.2685963456780794E-7</v>
      </c>
      <c r="G110">
        <v>1.1883962764000331</v>
      </c>
      <c r="H110">
        <v>2.3654709674114875</v>
      </c>
      <c r="I110">
        <v>1.1883962764000331</v>
      </c>
      <c r="J110">
        <v>2.3654709674114875</v>
      </c>
      <c r="L110" t="s">
        <v>69</v>
      </c>
      <c r="M110" s="17">
        <v>1.3465949742172791</v>
      </c>
      <c r="N110">
        <v>0.29743578923656017</v>
      </c>
      <c r="O110">
        <v>4.5273468188668087</v>
      </c>
      <c r="P110">
        <v>3.1666115924009051E-5</v>
      </c>
      <c r="Q110">
        <v>0.75075948997594799</v>
      </c>
      <c r="R110">
        <v>1.9424304584586103</v>
      </c>
      <c r="S110">
        <v>0.75075948997594799</v>
      </c>
      <c r="T110">
        <v>1.9424304584586103</v>
      </c>
    </row>
    <row r="111" spans="2:20">
      <c r="B111" t="s">
        <v>61</v>
      </c>
      <c r="C111" s="17">
        <v>-0.55347486924526135</v>
      </c>
      <c r="D111">
        <v>0.56008294228638278</v>
      </c>
      <c r="E111">
        <v>-0.98820161704238696</v>
      </c>
      <c r="F111">
        <v>0.32730457902098686</v>
      </c>
      <c r="G111">
        <v>-1.6754558251654663</v>
      </c>
      <c r="H111">
        <v>0.56850608667494362</v>
      </c>
      <c r="I111">
        <v>-1.6754558251654663</v>
      </c>
      <c r="J111">
        <v>0.56850608667494362</v>
      </c>
      <c r="L111" t="s">
        <v>61</v>
      </c>
      <c r="M111" s="17">
        <v>0.78310656318893879</v>
      </c>
      <c r="N111">
        <v>0.56702823309497008</v>
      </c>
      <c r="O111">
        <v>1.3810715542585308</v>
      </c>
      <c r="P111">
        <v>0.17274357061771012</v>
      </c>
      <c r="Q111">
        <v>-0.35278748208326827</v>
      </c>
      <c r="R111">
        <v>1.919000608461146</v>
      </c>
      <c r="S111">
        <v>-0.35278748208326827</v>
      </c>
      <c r="T111">
        <v>1.919000608461146</v>
      </c>
    </row>
    <row r="112" spans="2:20" ht="15" thickBot="1">
      <c r="B112" s="14" t="s">
        <v>62</v>
      </c>
      <c r="C112" s="35">
        <v>-0.95497347381242859</v>
      </c>
      <c r="D112" s="14">
        <v>0.32745836013879737</v>
      </c>
      <c r="E112" s="14">
        <v>-2.9163203327826199</v>
      </c>
      <c r="F112" s="14">
        <v>5.0868825730276618E-3</v>
      </c>
      <c r="G112" s="14">
        <v>-1.6109513945696186</v>
      </c>
      <c r="H112" s="14">
        <v>-0.29899555305523862</v>
      </c>
      <c r="I112" s="14">
        <v>-1.6109513945696186</v>
      </c>
      <c r="J112" s="14">
        <v>-0.29899555305523862</v>
      </c>
      <c r="L112" s="14" t="s">
        <v>62</v>
      </c>
      <c r="M112" s="35">
        <v>-0.50864342252924311</v>
      </c>
      <c r="N112" s="14">
        <v>0.3315189971751315</v>
      </c>
      <c r="O112" s="14">
        <v>-1.5342813741094363</v>
      </c>
      <c r="P112" s="14">
        <v>0.1305912658538772</v>
      </c>
      <c r="Q112" s="14">
        <v>-1.1727557767420795</v>
      </c>
      <c r="R112" s="14">
        <v>0.15546893168359321</v>
      </c>
      <c r="S112" s="14">
        <v>-1.1727557767420795</v>
      </c>
      <c r="T112" s="14">
        <v>0.15546893168359321</v>
      </c>
    </row>
    <row r="118" spans="2:18">
      <c r="B118" t="s">
        <v>34</v>
      </c>
      <c r="F118" t="s">
        <v>32</v>
      </c>
      <c r="G118" t="s">
        <v>100</v>
      </c>
      <c r="L118" t="s">
        <v>72</v>
      </c>
      <c r="Q118" t="s">
        <v>32</v>
      </c>
      <c r="R118" t="s">
        <v>100</v>
      </c>
    </row>
    <row r="119" spans="2:18">
      <c r="B119" t="s">
        <v>59</v>
      </c>
      <c r="F119" t="s">
        <v>61</v>
      </c>
      <c r="G119" t="s">
        <v>98</v>
      </c>
      <c r="L119" t="s">
        <v>59</v>
      </c>
      <c r="Q119" t="s">
        <v>61</v>
      </c>
      <c r="R119" t="s">
        <v>98</v>
      </c>
    </row>
    <row r="120" spans="2:18" ht="15" thickBot="1">
      <c r="F120" t="s">
        <v>62</v>
      </c>
      <c r="G120" t="s">
        <v>99</v>
      </c>
      <c r="Q120" t="s">
        <v>62</v>
      </c>
      <c r="R120" t="s">
        <v>98</v>
      </c>
    </row>
    <row r="121" spans="2:18">
      <c r="B121" s="16" t="s">
        <v>10</v>
      </c>
      <c r="C121" s="16"/>
      <c r="L121" s="16" t="s">
        <v>10</v>
      </c>
      <c r="M121" s="16"/>
    </row>
    <row r="122" spans="2:18">
      <c r="B122" t="s">
        <v>11</v>
      </c>
      <c r="C122">
        <v>0.71091179089438994</v>
      </c>
      <c r="L122" t="s">
        <v>11</v>
      </c>
      <c r="M122">
        <v>0.5728696823261199</v>
      </c>
    </row>
    <row r="123" spans="2:18">
      <c r="B123" t="s">
        <v>12</v>
      </c>
      <c r="C123">
        <v>0.5053955744326688</v>
      </c>
      <c r="L123" t="s">
        <v>12</v>
      </c>
      <c r="M123">
        <v>0.32817967292842948</v>
      </c>
    </row>
    <row r="124" spans="2:18">
      <c r="B124" t="s">
        <v>13</v>
      </c>
      <c r="C124">
        <v>0.47889890877727609</v>
      </c>
      <c r="L124" t="s">
        <v>13</v>
      </c>
      <c r="M124">
        <v>0.29218929826388107</v>
      </c>
    </row>
    <row r="125" spans="2:18">
      <c r="B125" t="s">
        <v>14</v>
      </c>
      <c r="C125">
        <v>5.983159803422569</v>
      </c>
      <c r="L125" t="s">
        <v>14</v>
      </c>
      <c r="M125">
        <v>4.2794543490663033</v>
      </c>
    </row>
    <row r="126" spans="2:18" ht="15" thickBot="1">
      <c r="B126" s="14" t="s">
        <v>15</v>
      </c>
      <c r="C126" s="14">
        <v>60</v>
      </c>
      <c r="L126" s="14" t="s">
        <v>15</v>
      </c>
      <c r="M126" s="14">
        <v>60</v>
      </c>
    </row>
    <row r="128" spans="2:18" ht="15" thickBot="1">
      <c r="B128" t="s">
        <v>16</v>
      </c>
      <c r="L128" t="s">
        <v>16</v>
      </c>
    </row>
    <row r="129" spans="2:20">
      <c r="B129" s="15"/>
      <c r="C129" s="15" t="s">
        <v>20</v>
      </c>
      <c r="D129" s="15" t="s">
        <v>21</v>
      </c>
      <c r="E129" s="15" t="s">
        <v>22</v>
      </c>
      <c r="F129" s="15" t="s">
        <v>23</v>
      </c>
      <c r="G129" s="15" t="s">
        <v>24</v>
      </c>
      <c r="L129" s="15"/>
      <c r="M129" s="15" t="s">
        <v>20</v>
      </c>
      <c r="N129" s="15" t="s">
        <v>21</v>
      </c>
      <c r="O129" s="15" t="s">
        <v>22</v>
      </c>
      <c r="P129" s="15" t="s">
        <v>23</v>
      </c>
      <c r="Q129" s="15" t="s">
        <v>24</v>
      </c>
    </row>
    <row r="130" spans="2:20">
      <c r="B130" t="s">
        <v>17</v>
      </c>
      <c r="C130">
        <v>3</v>
      </c>
      <c r="D130">
        <v>2048.4372688161361</v>
      </c>
      <c r="E130">
        <v>682.81242293871207</v>
      </c>
      <c r="F130">
        <v>19.0739310751656</v>
      </c>
      <c r="G130">
        <v>1.202198817015668E-8</v>
      </c>
      <c r="L130" t="s">
        <v>17</v>
      </c>
      <c r="M130">
        <v>3</v>
      </c>
      <c r="N130">
        <v>500.98342864250139</v>
      </c>
      <c r="O130">
        <v>166.99447621416712</v>
      </c>
      <c r="P130">
        <v>9.1185400537576538</v>
      </c>
      <c r="Q130">
        <v>5.2182885640646638E-5</v>
      </c>
    </row>
    <row r="131" spans="2:20">
      <c r="B131" t="s">
        <v>18</v>
      </c>
      <c r="C131">
        <v>56</v>
      </c>
      <c r="D131">
        <v>2004.6992690643292</v>
      </c>
      <c r="E131">
        <v>35.798201233291593</v>
      </c>
      <c r="L131" t="s">
        <v>18</v>
      </c>
      <c r="M131">
        <v>56</v>
      </c>
      <c r="N131">
        <v>1025.5688534415799</v>
      </c>
      <c r="O131">
        <v>18.313729525742499</v>
      </c>
    </row>
    <row r="132" spans="2:20" ht="15" thickBot="1">
      <c r="B132" s="14" t="s">
        <v>19</v>
      </c>
      <c r="C132" s="14">
        <v>59</v>
      </c>
      <c r="D132" s="14">
        <v>4053.1365378804653</v>
      </c>
      <c r="E132" s="14"/>
      <c r="F132" s="14"/>
      <c r="G132" s="14"/>
      <c r="L132" s="14" t="s">
        <v>19</v>
      </c>
      <c r="M132" s="14">
        <v>59</v>
      </c>
      <c r="N132" s="14">
        <v>1526.5522820840813</v>
      </c>
      <c r="O132" s="14"/>
      <c r="P132" s="14"/>
      <c r="Q132" s="14"/>
    </row>
    <row r="133" spans="2:20" ht="15" thickBot="1"/>
    <row r="134" spans="2:20">
      <c r="B134" s="15"/>
      <c r="C134" s="15" t="s">
        <v>25</v>
      </c>
      <c r="D134" s="15" t="s">
        <v>14</v>
      </c>
      <c r="E134" s="15" t="s">
        <v>26</v>
      </c>
      <c r="F134" s="15" t="s">
        <v>27</v>
      </c>
      <c r="G134" s="15" t="s">
        <v>28</v>
      </c>
      <c r="H134" s="15" t="s">
        <v>29</v>
      </c>
      <c r="I134" s="15" t="s">
        <v>30</v>
      </c>
      <c r="J134" s="15" t="s">
        <v>31</v>
      </c>
      <c r="L134" s="15"/>
      <c r="M134" s="15" t="s">
        <v>25</v>
      </c>
      <c r="N134" s="15" t="s">
        <v>14</v>
      </c>
      <c r="O134" s="15" t="s">
        <v>26</v>
      </c>
      <c r="P134" s="15" t="s">
        <v>27</v>
      </c>
      <c r="Q134" s="15" t="s">
        <v>28</v>
      </c>
      <c r="R134" s="15" t="s">
        <v>29</v>
      </c>
      <c r="S134" s="15" t="s">
        <v>30</v>
      </c>
      <c r="T134" s="15" t="s">
        <v>31</v>
      </c>
    </row>
    <row r="135" spans="2:20">
      <c r="B135" t="s">
        <v>60</v>
      </c>
      <c r="C135">
        <v>-0.20338007618134113</v>
      </c>
      <c r="D135">
        <v>0.79351753867453501</v>
      </c>
      <c r="E135">
        <v>-0.25630192940796287</v>
      </c>
      <c r="F135">
        <v>0.79865693488750411</v>
      </c>
      <c r="G135">
        <v>-1.7929867207741113</v>
      </c>
      <c r="H135">
        <v>1.386226568411429</v>
      </c>
      <c r="I135">
        <v>-1.7929867207741113</v>
      </c>
      <c r="J135">
        <v>1.386226568411429</v>
      </c>
      <c r="L135" t="s">
        <v>60</v>
      </c>
      <c r="M135">
        <v>-0.12592835241437925</v>
      </c>
      <c r="N135">
        <v>0.56756332665535736</v>
      </c>
      <c r="O135">
        <v>-0.22187542164937479</v>
      </c>
      <c r="P135">
        <v>0.82521801532383243</v>
      </c>
      <c r="Q135">
        <v>-1.2628943188951474</v>
      </c>
      <c r="R135">
        <v>1.0110376140663888</v>
      </c>
      <c r="S135">
        <v>-1.2628943188951474</v>
      </c>
      <c r="T135">
        <v>1.0110376140663888</v>
      </c>
    </row>
    <row r="136" spans="2:20">
      <c r="B136" t="s">
        <v>69</v>
      </c>
      <c r="C136" s="17">
        <v>0.52725173154997795</v>
      </c>
      <c r="D136">
        <v>0.14867496285473011</v>
      </c>
      <c r="E136">
        <v>3.5463384111631098</v>
      </c>
      <c r="F136">
        <v>7.9778476377874842E-4</v>
      </c>
      <c r="G136">
        <v>0.22941999208618763</v>
      </c>
      <c r="H136">
        <v>0.82508347101376822</v>
      </c>
      <c r="I136">
        <v>0.22941999208618763</v>
      </c>
      <c r="J136">
        <v>0.82508347101376822</v>
      </c>
      <c r="L136" t="s">
        <v>69</v>
      </c>
      <c r="M136" s="17">
        <v>0.53848587946481552</v>
      </c>
      <c r="N136">
        <v>0.10633974977937088</v>
      </c>
      <c r="O136">
        <v>5.0638249627448131</v>
      </c>
      <c r="P136">
        <v>4.7636432698549643E-6</v>
      </c>
      <c r="Q136">
        <v>0.32546176267468568</v>
      </c>
      <c r="R136">
        <v>0.75150999625494541</v>
      </c>
      <c r="S136">
        <v>0.32546176267468568</v>
      </c>
      <c r="T136">
        <v>0.75150999625494541</v>
      </c>
    </row>
    <row r="137" spans="2:20">
      <c r="B137" t="s">
        <v>61</v>
      </c>
      <c r="C137" s="17">
        <v>0.2289701994065467</v>
      </c>
      <c r="D137">
        <v>0.28343227191778575</v>
      </c>
      <c r="E137">
        <v>0.80784801906031123</v>
      </c>
      <c r="F137">
        <v>0.42259646795805428</v>
      </c>
      <c r="G137">
        <v>-0.33881286873472416</v>
      </c>
      <c r="H137">
        <v>0.79675326754781761</v>
      </c>
      <c r="I137">
        <v>-0.33881286873472416</v>
      </c>
      <c r="J137">
        <v>0.79675326754781761</v>
      </c>
      <c r="L137" t="s">
        <v>61</v>
      </c>
      <c r="M137" s="17">
        <v>-0.37054691265263634</v>
      </c>
      <c r="N137">
        <v>0.20272489931331458</v>
      </c>
      <c r="O137">
        <v>-1.8278312822341085</v>
      </c>
      <c r="P137">
        <v>7.290394482179198E-2</v>
      </c>
      <c r="Q137">
        <v>-0.77665368568140325</v>
      </c>
      <c r="R137">
        <v>3.555986037613057E-2</v>
      </c>
      <c r="S137">
        <v>-0.77665368568140325</v>
      </c>
      <c r="T137">
        <v>3.555986037613057E-2</v>
      </c>
    </row>
    <row r="138" spans="2:20" ht="15" thickBot="1">
      <c r="B138" s="14" t="s">
        <v>62</v>
      </c>
      <c r="C138" s="35">
        <v>1.0035451918841427</v>
      </c>
      <c r="D138" s="14">
        <v>0.16571164726733431</v>
      </c>
      <c r="E138" s="14">
        <v>6.0559725790738987</v>
      </c>
      <c r="F138" s="14">
        <v>1.2324127994256428E-7</v>
      </c>
      <c r="G138" s="14">
        <v>0.67158487249086285</v>
      </c>
      <c r="H138" s="14">
        <v>1.3355055112774226</v>
      </c>
      <c r="I138" s="14">
        <v>0.67158487249086285</v>
      </c>
      <c r="J138" s="14">
        <v>1.3355055112774226</v>
      </c>
      <c r="L138" s="14" t="s">
        <v>62</v>
      </c>
      <c r="M138" s="35">
        <v>0.12799363312414233</v>
      </c>
      <c r="N138" s="14">
        <v>0.11852523631133408</v>
      </c>
      <c r="O138" s="14">
        <v>1.0798850701123035</v>
      </c>
      <c r="P138" s="14">
        <v>0.28482244781022598</v>
      </c>
      <c r="Q138" s="14">
        <v>-0.10944094646578853</v>
      </c>
      <c r="R138" s="14">
        <v>0.36542821271407322</v>
      </c>
      <c r="S138" s="14">
        <v>-0.10944094646578853</v>
      </c>
      <c r="T138" s="14">
        <v>0.36542821271407322</v>
      </c>
    </row>
  </sheetData>
  <mergeCells count="1">
    <mergeCell ref="N1:T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7416-6D8C-47C2-BD7D-C3EA0D0E7B40}">
  <dimension ref="B1:V98"/>
  <sheetViews>
    <sheetView topLeftCell="A46" zoomScale="50" zoomScaleNormal="50" workbookViewId="0">
      <selection activeCell="O87" sqref="O87"/>
    </sheetView>
  </sheetViews>
  <sheetFormatPr defaultRowHeight="14.4"/>
  <cols>
    <col min="2" max="2" width="15.109375" customWidth="1"/>
    <col min="3" max="3" width="11.5546875" customWidth="1"/>
    <col min="8" max="9" width="12.88671875" customWidth="1"/>
    <col min="12" max="12" width="10.5546875" bestFit="1" customWidth="1"/>
    <col min="13" max="13" width="5.5546875" customWidth="1"/>
    <col min="14" max="14" width="12" customWidth="1"/>
    <col min="15" max="15" width="7.44140625" customWidth="1"/>
    <col min="16" max="16" width="7.77734375" customWidth="1"/>
    <col min="17" max="17" width="8.5546875" customWidth="1"/>
    <col min="18" max="18" width="8.109375" customWidth="1"/>
    <col min="19" max="20" width="8.33203125" customWidth="1"/>
    <col min="21" max="21" width="6.77734375" customWidth="1"/>
    <col min="22" max="22" width="16.77734375" customWidth="1"/>
  </cols>
  <sheetData>
    <row r="1" spans="2:22">
      <c r="N1" s="72" t="s">
        <v>79</v>
      </c>
      <c r="O1" s="72"/>
      <c r="P1" s="72"/>
      <c r="Q1" s="72"/>
      <c r="R1" s="72"/>
      <c r="S1" s="72"/>
      <c r="T1" s="72"/>
    </row>
    <row r="2" spans="2:22" ht="43.2">
      <c r="C2" s="42" t="s">
        <v>93</v>
      </c>
      <c r="D2" s="42" t="s">
        <v>61</v>
      </c>
      <c r="E2" s="42" t="s">
        <v>62</v>
      </c>
      <c r="F2" s="42" t="s">
        <v>63</v>
      </c>
      <c r="G2" s="42" t="s">
        <v>64</v>
      </c>
      <c r="H2" s="42" t="s">
        <v>65</v>
      </c>
      <c r="I2" s="42" t="s">
        <v>66</v>
      </c>
      <c r="J2" s="42" t="s">
        <v>67</v>
      </c>
      <c r="K2" s="42" t="s">
        <v>68</v>
      </c>
      <c r="L2" s="42" t="s">
        <v>23</v>
      </c>
      <c r="N2" s="42" t="s">
        <v>92</v>
      </c>
      <c r="O2" s="43" t="s">
        <v>81</v>
      </c>
      <c r="P2" s="43" t="s">
        <v>82</v>
      </c>
      <c r="Q2" s="43" t="s">
        <v>83</v>
      </c>
      <c r="R2" s="43" t="s">
        <v>84</v>
      </c>
      <c r="S2" s="43" t="s">
        <v>85</v>
      </c>
      <c r="T2" s="43" t="s">
        <v>86</v>
      </c>
      <c r="V2" s="19" t="s">
        <v>91</v>
      </c>
    </row>
    <row r="3" spans="2:22">
      <c r="B3" s="2">
        <v>201901</v>
      </c>
      <c r="C3" s="1">
        <v>8.4</v>
      </c>
      <c r="D3" s="1">
        <v>2.88</v>
      </c>
      <c r="E3" s="1">
        <v>-0.45</v>
      </c>
      <c r="F3" s="1">
        <v>0.21</v>
      </c>
      <c r="G3" s="1">
        <v>26.630019026525897</v>
      </c>
      <c r="H3" s="1">
        <v>29.959330206357841</v>
      </c>
      <c r="I3" s="1">
        <v>32.02185981754387</v>
      </c>
      <c r="J3" s="1">
        <v>18.937435684112945</v>
      </c>
      <c r="K3" s="1">
        <v>5.7278754075853673</v>
      </c>
      <c r="L3" s="1">
        <v>2.9127929703455671</v>
      </c>
      <c r="N3" s="23">
        <f>'Active Porfolio'!D34</f>
        <v>0.18555941834136769</v>
      </c>
      <c r="O3" s="23">
        <f>'Active Porfolio'!D38</f>
        <v>0.14259114088294922</v>
      </c>
      <c r="P3" s="23">
        <f>'Active Porfolio'!D39</f>
        <v>4.2377681613524433E-2</v>
      </c>
      <c r="Q3" s="23">
        <f>'Active Porfolio'!D40</f>
        <v>9.5818706607248644E-2</v>
      </c>
      <c r="R3" s="23">
        <f>'Active Porfolio'!D41</f>
        <v>0.10340218093842907</v>
      </c>
      <c r="S3" s="23">
        <f>'Active Porfolio'!D42</f>
        <v>0.19041354994082407</v>
      </c>
      <c r="T3" s="23">
        <f>'Active Porfolio'!D43</f>
        <v>0.23983732167565686</v>
      </c>
      <c r="V3" s="27">
        <f>C3*$N$3+G3*$O$3+H3*$P$3+I3*$Q$3+J3*$R$3+K3*$S$3+L3*$T$3</f>
        <v>13.441237762208567</v>
      </c>
    </row>
    <row r="4" spans="2:22">
      <c r="B4" s="2">
        <v>201902</v>
      </c>
      <c r="C4" s="1">
        <v>3.4</v>
      </c>
      <c r="D4" s="1">
        <v>2.06</v>
      </c>
      <c r="E4" s="1">
        <v>-2.71</v>
      </c>
      <c r="F4" s="1">
        <v>0.18</v>
      </c>
      <c r="G4" s="1">
        <v>5.2986468335787951</v>
      </c>
      <c r="H4" s="1">
        <v>2.3191510612513162</v>
      </c>
      <c r="I4" s="1">
        <v>-3.7850757886112314</v>
      </c>
      <c r="J4" s="1">
        <v>3.6942814785530662</v>
      </c>
      <c r="K4" s="1">
        <v>0.59757816296777344</v>
      </c>
      <c r="L4" s="1">
        <v>2.4950789047952582</v>
      </c>
      <c r="V4" s="27">
        <f t="shared" ref="V4:V62" si="0">C4*$N$3+G4*$O$3+H4*$P$3+I4*$Q$3+J4*$R$3+K4*$S$3+L4*$T$3</f>
        <v>2.2162380814648803</v>
      </c>
    </row>
    <row r="5" spans="2:22">
      <c r="B5" s="2">
        <v>201903</v>
      </c>
      <c r="C5" s="1">
        <v>1.1000000000000001</v>
      </c>
      <c r="D5" s="1">
        <v>-3.05</v>
      </c>
      <c r="E5" s="1">
        <v>-4.12</v>
      </c>
      <c r="F5" s="1">
        <v>0.19</v>
      </c>
      <c r="G5" s="1">
        <v>-0.62004969958028999</v>
      </c>
      <c r="H5" s="1">
        <v>-17.357674777298772</v>
      </c>
      <c r="I5" s="1">
        <v>8.267283958466475</v>
      </c>
      <c r="J5" s="1">
        <v>0.36185728928368538</v>
      </c>
      <c r="K5" s="1">
        <v>0.4208358882950633</v>
      </c>
      <c r="L5" s="1">
        <v>2.7938758848848235</v>
      </c>
      <c r="V5" s="27">
        <f t="shared" si="0"/>
        <v>0.95990960455800844</v>
      </c>
    </row>
    <row r="6" spans="2:22">
      <c r="B6" s="2">
        <v>201904</v>
      </c>
      <c r="C6" s="1">
        <v>3.97</v>
      </c>
      <c r="D6" s="1">
        <v>-1.72</v>
      </c>
      <c r="E6" s="1">
        <v>2.16</v>
      </c>
      <c r="F6" s="1">
        <v>0.21</v>
      </c>
      <c r="G6" s="1">
        <v>3.7108018505766287</v>
      </c>
      <c r="H6" s="1">
        <v>-10.572899611407241</v>
      </c>
      <c r="I6" s="1">
        <v>8.058021159874615</v>
      </c>
      <c r="J6" s="1">
        <v>16.23587244511732</v>
      </c>
      <c r="K6" s="1">
        <v>1.2918357565106138</v>
      </c>
      <c r="L6" s="1">
        <v>0.79865687436504373</v>
      </c>
      <c r="V6" s="27">
        <f t="shared" si="0"/>
        <v>3.7062079304550806</v>
      </c>
    </row>
    <row r="7" spans="2:22">
      <c r="B7" s="2">
        <v>201905</v>
      </c>
      <c r="C7" s="1">
        <v>-6.94</v>
      </c>
      <c r="D7" s="1">
        <v>-1.31</v>
      </c>
      <c r="E7" s="1">
        <v>-2.37</v>
      </c>
      <c r="F7" s="1">
        <v>0.21</v>
      </c>
      <c r="G7" s="1">
        <v>-7.5668330916729767</v>
      </c>
      <c r="H7" s="1">
        <v>-12.85057579847053</v>
      </c>
      <c r="I7" s="1">
        <v>-1.0062323849523171</v>
      </c>
      <c r="J7" s="1">
        <v>-5.8820267458479893</v>
      </c>
      <c r="K7" s="1">
        <v>-2.9173792335491724</v>
      </c>
      <c r="L7" s="1">
        <v>-7.3275869209079145</v>
      </c>
      <c r="V7" s="27">
        <f t="shared" si="0"/>
        <v>-5.9288909738108195</v>
      </c>
    </row>
    <row r="8" spans="2:22">
      <c r="B8" s="2">
        <v>201906</v>
      </c>
      <c r="C8" s="1">
        <v>6.93</v>
      </c>
      <c r="D8" s="1">
        <v>0.28000000000000003</v>
      </c>
      <c r="E8" s="1">
        <v>-0.7</v>
      </c>
      <c r="F8" s="1">
        <v>0.18</v>
      </c>
      <c r="G8" s="1">
        <v>6.8230319476900263</v>
      </c>
      <c r="H8" s="1">
        <v>6.0506848609680732</v>
      </c>
      <c r="I8" s="1">
        <v>10.618982123312653</v>
      </c>
      <c r="J8" s="1">
        <v>12.983333680852299</v>
      </c>
      <c r="K8" s="1">
        <v>5.0942257680921141</v>
      </c>
      <c r="L8" s="1">
        <v>6.7456648508955412</v>
      </c>
      <c r="V8" s="27">
        <f t="shared" si="0"/>
        <v>7.4631186298451357</v>
      </c>
    </row>
    <row r="9" spans="2:22">
      <c r="B9" s="2">
        <v>201907</v>
      </c>
      <c r="C9" s="1">
        <v>1.19</v>
      </c>
      <c r="D9" s="1">
        <v>-1.93</v>
      </c>
      <c r="E9" s="1">
        <v>0.47</v>
      </c>
      <c r="F9" s="1">
        <v>0.19</v>
      </c>
      <c r="G9" s="1">
        <v>-12.258500532289275</v>
      </c>
      <c r="H9" s="1">
        <v>7.7595932113229757</v>
      </c>
      <c r="I9" s="1">
        <v>7.3417837885490556E-2</v>
      </c>
      <c r="J9" s="1">
        <v>-2.0018179049939202</v>
      </c>
      <c r="K9" s="1">
        <v>-3.5402397418164901</v>
      </c>
      <c r="L9" s="1">
        <v>-6.6948799056766424</v>
      </c>
      <c r="V9" s="27">
        <f t="shared" si="0"/>
        <v>-3.678053515375634</v>
      </c>
    </row>
    <row r="10" spans="2:22">
      <c r="B10" s="2">
        <v>201908</v>
      </c>
      <c r="C10" s="1">
        <v>-2.58</v>
      </c>
      <c r="D10" s="1">
        <v>-2.39</v>
      </c>
      <c r="E10" s="1">
        <v>-4.79</v>
      </c>
      <c r="F10" s="1">
        <v>0.16</v>
      </c>
      <c r="G10" s="1">
        <v>-9.2129090390695936</v>
      </c>
      <c r="H10" s="1">
        <v>46.988630444544249</v>
      </c>
      <c r="I10" s="1">
        <v>3.1240721417381887</v>
      </c>
      <c r="J10" s="1">
        <v>-3.9125167856261984</v>
      </c>
      <c r="K10" s="1">
        <v>-11.751669766126096</v>
      </c>
      <c r="L10" s="1">
        <v>-1.5883521331100334</v>
      </c>
      <c r="V10" s="27">
        <f t="shared" si="0"/>
        <v>-2.5249947856241608</v>
      </c>
    </row>
    <row r="11" spans="2:22">
      <c r="B11" s="2">
        <v>201909</v>
      </c>
      <c r="C11" s="1">
        <v>1.43</v>
      </c>
      <c r="D11" s="1">
        <v>-0.97</v>
      </c>
      <c r="E11" s="1">
        <v>6.77</v>
      </c>
      <c r="F11" s="1">
        <v>0.18</v>
      </c>
      <c r="G11" s="1">
        <v>-9.0753208510638235</v>
      </c>
      <c r="H11" s="1">
        <v>-1.8583613060726263</v>
      </c>
      <c r="I11" s="1">
        <v>-8.0019425175852987</v>
      </c>
      <c r="J11" s="1">
        <v>-6.7210053165780526</v>
      </c>
      <c r="K11" s="1">
        <v>5.6653239512706461</v>
      </c>
      <c r="L11" s="1">
        <v>1.3699281835017698</v>
      </c>
      <c r="V11" s="27">
        <f t="shared" si="0"/>
        <v>-1.1618514682237313</v>
      </c>
    </row>
    <row r="12" spans="2:22">
      <c r="B12" s="2">
        <v>201910</v>
      </c>
      <c r="C12" s="1">
        <v>2.06</v>
      </c>
      <c r="D12" s="1">
        <v>0.28999999999999998</v>
      </c>
      <c r="E12" s="1">
        <v>-1.9</v>
      </c>
      <c r="F12" s="1">
        <v>0.16</v>
      </c>
      <c r="G12" s="1">
        <v>7.2348170427250755</v>
      </c>
      <c r="H12" s="1">
        <v>26.717714870337826</v>
      </c>
      <c r="I12" s="1">
        <v>16.880358744394623</v>
      </c>
      <c r="J12" s="1">
        <v>-10.882284458620402</v>
      </c>
      <c r="K12" s="1">
        <v>-1.6553220559157809</v>
      </c>
      <c r="L12" s="1">
        <v>1.8959325553151098</v>
      </c>
      <c r="V12" s="27">
        <f t="shared" si="0"/>
        <v>3.1778298647236189</v>
      </c>
    </row>
    <row r="13" spans="2:22">
      <c r="B13" s="2">
        <v>201911</v>
      </c>
      <c r="C13" s="1">
        <v>3.88</v>
      </c>
      <c r="D13" s="1">
        <v>0.78</v>
      </c>
      <c r="E13" s="1">
        <v>-1.99</v>
      </c>
      <c r="F13" s="1">
        <v>0.12</v>
      </c>
      <c r="G13" s="1">
        <v>9.3612287744862215</v>
      </c>
      <c r="H13" s="1">
        <v>-12.179686593451892</v>
      </c>
      <c r="I13" s="1">
        <v>15.264621279104041</v>
      </c>
      <c r="J13" s="1">
        <v>6.5415194697524734</v>
      </c>
      <c r="K13" s="1">
        <v>-0.94801275093993265</v>
      </c>
      <c r="L13" s="1">
        <v>4.0075827065774039</v>
      </c>
      <c r="V13" s="27">
        <f t="shared" si="0"/>
        <v>4.4583490306553752</v>
      </c>
    </row>
    <row r="14" spans="2:22">
      <c r="B14" s="2">
        <v>201912</v>
      </c>
      <c r="C14" s="1">
        <v>2.77</v>
      </c>
      <c r="D14" s="1">
        <v>0.73</v>
      </c>
      <c r="E14" s="1">
        <v>1.78</v>
      </c>
      <c r="F14" s="1">
        <v>0.14000000000000001</v>
      </c>
      <c r="G14" s="1">
        <v>2.6916287061383115</v>
      </c>
      <c r="H14" s="1">
        <v>5.0616660583681208</v>
      </c>
      <c r="I14" s="1">
        <v>16.999204743846491</v>
      </c>
      <c r="J14" s="1">
        <v>1.163397852882059</v>
      </c>
      <c r="K14" s="1">
        <v>2.4517515188119141</v>
      </c>
      <c r="L14" s="1">
        <v>6.6900526345542071</v>
      </c>
      <c r="V14" s="27">
        <f t="shared" si="0"/>
        <v>4.9328143727073579</v>
      </c>
    </row>
    <row r="15" spans="2:22">
      <c r="B15" s="2">
        <v>202001</v>
      </c>
      <c r="C15" s="1">
        <v>-0.11</v>
      </c>
      <c r="D15" s="1">
        <v>-3.13</v>
      </c>
      <c r="E15" s="1">
        <v>-6.25</v>
      </c>
      <c r="F15" s="1">
        <v>0.13</v>
      </c>
      <c r="G15" s="1">
        <v>6.5207984468412148</v>
      </c>
      <c r="H15" s="1">
        <v>-7.0046668429402343</v>
      </c>
      <c r="I15" s="1">
        <v>2.3558241935058031</v>
      </c>
      <c r="J15" s="1">
        <v>-11.530995557558898</v>
      </c>
      <c r="K15" s="1">
        <v>-11.710193285859608</v>
      </c>
      <c r="L15" s="1">
        <v>1.926585201366823</v>
      </c>
      <c r="V15" s="27">
        <f t="shared" si="0"/>
        <v>-2.1217554884987231</v>
      </c>
    </row>
    <row r="16" spans="2:22">
      <c r="B16" s="2">
        <v>202002</v>
      </c>
      <c r="C16" s="1">
        <v>-8.1300000000000008</v>
      </c>
      <c r="D16" s="1">
        <v>1.07</v>
      </c>
      <c r="E16" s="1">
        <v>-3.8</v>
      </c>
      <c r="F16" s="1">
        <v>0.12</v>
      </c>
      <c r="G16" s="1">
        <v>6.8173216486982691</v>
      </c>
      <c r="H16" s="1">
        <v>1.4699999548551776</v>
      </c>
      <c r="I16" s="1">
        <v>-3.3540425531914964</v>
      </c>
      <c r="J16" s="1">
        <v>-7.8045539457622386</v>
      </c>
      <c r="K16" s="1">
        <v>-15.690474954152455</v>
      </c>
      <c r="L16" s="1">
        <v>-9.7861431636930067</v>
      </c>
      <c r="V16" s="27">
        <f t="shared" si="0"/>
        <v>-6.9373625301910042</v>
      </c>
    </row>
    <row r="17" spans="2:22">
      <c r="B17" s="2">
        <v>202003</v>
      </c>
      <c r="C17" s="1">
        <v>-13.39</v>
      </c>
      <c r="D17" s="1">
        <v>-4.79</v>
      </c>
      <c r="E17" s="1">
        <v>-13.88</v>
      </c>
      <c r="F17" s="1">
        <v>0.13</v>
      </c>
      <c r="G17" s="1">
        <v>1.6232452693635957</v>
      </c>
      <c r="H17" s="1">
        <v>0.56871438509542727</v>
      </c>
      <c r="I17" s="1">
        <v>-0.13</v>
      </c>
      <c r="J17" s="1">
        <v>-21.34476731483505</v>
      </c>
      <c r="K17" s="1">
        <v>-20.888574171214479</v>
      </c>
      <c r="L17" s="1">
        <v>-1.999285995389569</v>
      </c>
      <c r="V17" s="27">
        <f t="shared" si="0"/>
        <v>-8.905602302936126</v>
      </c>
    </row>
    <row r="18" spans="2:22">
      <c r="B18" s="2">
        <v>202004</v>
      </c>
      <c r="C18" s="1">
        <v>13.65</v>
      </c>
      <c r="D18" s="1">
        <v>2.4500000000000002</v>
      </c>
      <c r="E18" s="1">
        <v>-1.34</v>
      </c>
      <c r="F18" s="1">
        <v>0</v>
      </c>
      <c r="G18" s="1">
        <v>11.81092037283622</v>
      </c>
      <c r="H18" s="1">
        <v>31.668055278047618</v>
      </c>
      <c r="I18" s="1">
        <v>15.193489445910306</v>
      </c>
      <c r="J18" s="1">
        <v>22.046580087449257</v>
      </c>
      <c r="K18" s="1">
        <v>-5.0444197490518778</v>
      </c>
      <c r="L18" s="1">
        <v>14.420804131616304</v>
      </c>
      <c r="V18" s="27">
        <f t="shared" si="0"/>
        <v>11.792643573454184</v>
      </c>
    </row>
    <row r="19" spans="2:22">
      <c r="B19" s="2">
        <v>202005</v>
      </c>
      <c r="C19" s="1">
        <v>5.58</v>
      </c>
      <c r="D19" s="1">
        <v>2.4900000000000002</v>
      </c>
      <c r="E19" s="1">
        <v>-4.8499999999999996</v>
      </c>
      <c r="F19" s="1">
        <v>0.01</v>
      </c>
      <c r="G19" s="1">
        <v>-3.8580444988731803E-2</v>
      </c>
      <c r="H19" s="1">
        <v>40.947007608705889</v>
      </c>
      <c r="I19" s="1">
        <v>2.6813533630722088</v>
      </c>
      <c r="J19" s="1">
        <v>5.920472889364814</v>
      </c>
      <c r="K19" s="1">
        <v>-3.57172642433666</v>
      </c>
      <c r="L19" s="1">
        <v>-0.86977884507042469</v>
      </c>
      <c r="V19" s="27">
        <f t="shared" si="0"/>
        <v>2.7455626597729306</v>
      </c>
    </row>
    <row r="20" spans="2:22">
      <c r="B20" s="2">
        <v>202006</v>
      </c>
      <c r="C20" s="1">
        <v>2.46</v>
      </c>
      <c r="D20" s="1">
        <v>2.69</v>
      </c>
      <c r="E20" s="1">
        <v>-2.23</v>
      </c>
      <c r="F20" s="1">
        <v>0.01</v>
      </c>
      <c r="G20" s="1">
        <v>8.4025502286278044</v>
      </c>
      <c r="H20" s="1">
        <v>28.35846440697782</v>
      </c>
      <c r="I20" s="1">
        <v>-2.2218922344217935</v>
      </c>
      <c r="J20" s="1">
        <v>6.1676084551181569</v>
      </c>
      <c r="K20" s="1">
        <v>2.3061126035645505</v>
      </c>
      <c r="L20" s="1">
        <v>-4.8134348833698724</v>
      </c>
      <c r="V20" s="27">
        <f t="shared" si="0"/>
        <v>2.5658904504643809</v>
      </c>
    </row>
    <row r="21" spans="2:22">
      <c r="B21" s="2">
        <v>202007</v>
      </c>
      <c r="C21" s="1">
        <v>5.77</v>
      </c>
      <c r="D21" s="1">
        <v>-2.2999999999999998</v>
      </c>
      <c r="E21" s="1">
        <v>-1.44</v>
      </c>
      <c r="F21" s="1">
        <v>0.01</v>
      </c>
      <c r="G21" s="1">
        <v>7.4267078346291058</v>
      </c>
      <c r="H21" s="1">
        <v>6.9331585248442984</v>
      </c>
      <c r="I21" s="1">
        <v>47.167339912994898</v>
      </c>
      <c r="J21" s="1">
        <v>20.293028282828278</v>
      </c>
      <c r="K21" s="1">
        <v>-8.8200339189364882</v>
      </c>
      <c r="L21" s="1">
        <v>3.6378328297725462</v>
      </c>
      <c r="V21" s="27">
        <f t="shared" si="0"/>
        <v>8.2343627718662802</v>
      </c>
    </row>
    <row r="22" spans="2:22">
      <c r="B22" s="2">
        <v>202008</v>
      </c>
      <c r="C22" s="1">
        <v>7.63</v>
      </c>
      <c r="D22" s="1">
        <v>-0.28000000000000003</v>
      </c>
      <c r="E22" s="1">
        <v>-2.88</v>
      </c>
      <c r="F22" s="1">
        <v>0.01</v>
      </c>
      <c r="G22" s="1">
        <v>8.3110588659685458</v>
      </c>
      <c r="H22" s="1">
        <v>-3.1254693970979464</v>
      </c>
      <c r="I22" s="1">
        <v>17.283038873821496</v>
      </c>
      <c r="J22" s="1">
        <v>28.60460501451897</v>
      </c>
      <c r="K22" s="1">
        <v>-0.4460919300936626</v>
      </c>
      <c r="L22" s="1">
        <v>5.2383877273889592</v>
      </c>
      <c r="V22" s="27">
        <f t="shared" si="0"/>
        <v>8.2536874895278807</v>
      </c>
    </row>
    <row r="23" spans="2:22">
      <c r="B23" s="2">
        <v>202009</v>
      </c>
      <c r="C23" s="1">
        <v>-3.63</v>
      </c>
      <c r="D23" s="1">
        <v>-0.03</v>
      </c>
      <c r="E23" s="1">
        <v>-2.65</v>
      </c>
      <c r="F23" s="1">
        <v>0.01</v>
      </c>
      <c r="G23" s="1">
        <v>-5.586327349408287</v>
      </c>
      <c r="H23" s="1">
        <v>-16.639187842833653</v>
      </c>
      <c r="I23" s="1">
        <v>-9.7325302796740747</v>
      </c>
      <c r="J23" s="1">
        <v>-13.575739055528874</v>
      </c>
      <c r="K23" s="1">
        <v>-15.205417789757407</v>
      </c>
      <c r="L23" s="1">
        <v>-2.3169467982526513</v>
      </c>
      <c r="V23" s="27">
        <f t="shared" si="0"/>
        <v>-7.9625990672340654</v>
      </c>
    </row>
    <row r="24" spans="2:22">
      <c r="B24" s="2">
        <v>202010</v>
      </c>
      <c r="C24" s="1">
        <v>-2.1</v>
      </c>
      <c r="D24" s="1">
        <v>4.2699999999999996</v>
      </c>
      <c r="E24" s="1">
        <v>4.3099999999999996</v>
      </c>
      <c r="F24" s="1">
        <v>0.01</v>
      </c>
      <c r="G24" s="1">
        <v>-4.8677103470945946</v>
      </c>
      <c r="H24" s="1">
        <v>21.338618439686616</v>
      </c>
      <c r="I24" s="1">
        <v>-8.1817247998957097</v>
      </c>
      <c r="J24" s="1">
        <v>31.485478768677297</v>
      </c>
      <c r="K24" s="1">
        <v>1.4997298371076597</v>
      </c>
      <c r="L24" s="1">
        <v>-7.9157288851307364</v>
      </c>
      <c r="V24" s="27">
        <f t="shared" si="0"/>
        <v>0.6793005796575271</v>
      </c>
    </row>
    <row r="25" spans="2:22">
      <c r="B25" s="2">
        <v>202011</v>
      </c>
      <c r="C25" s="1">
        <v>12.47</v>
      </c>
      <c r="D25" s="1">
        <v>5.72</v>
      </c>
      <c r="E25" s="1">
        <v>2.15</v>
      </c>
      <c r="F25" s="1">
        <v>0.01</v>
      </c>
      <c r="G25" s="1">
        <v>3.1345794582036377</v>
      </c>
      <c r="H25" s="1">
        <v>54.257607659448524</v>
      </c>
      <c r="I25" s="1">
        <v>23.060796612155706</v>
      </c>
      <c r="J25" s="1">
        <v>7.3191174958374248</v>
      </c>
      <c r="K25" s="1">
        <v>32.436189136837164</v>
      </c>
      <c r="L25" s="1">
        <v>5.5111107098601</v>
      </c>
      <c r="V25" s="27">
        <f t="shared" si="0"/>
        <v>15.52472919888582</v>
      </c>
    </row>
    <row r="26" spans="2:22">
      <c r="B26" s="2">
        <v>202012</v>
      </c>
      <c r="C26" s="1">
        <v>4.63</v>
      </c>
      <c r="D26" s="1">
        <v>4.79</v>
      </c>
      <c r="E26" s="1">
        <v>-1.34</v>
      </c>
      <c r="F26" s="1">
        <v>0.01</v>
      </c>
      <c r="G26" s="1">
        <v>10.18563211259916</v>
      </c>
      <c r="H26" s="1">
        <v>27.985101620850092</v>
      </c>
      <c r="I26" s="1">
        <v>-1.03525896718071</v>
      </c>
      <c r="J26" s="1">
        <v>5.8660548003853155</v>
      </c>
      <c r="K26" s="1">
        <v>3.8316046099290766</v>
      </c>
      <c r="L26" s="1">
        <v>9.5239042191463046</v>
      </c>
      <c r="V26" s="27">
        <f t="shared" si="0"/>
        <v>7.0186075370676946</v>
      </c>
    </row>
    <row r="27" spans="2:22">
      <c r="B27" s="2">
        <v>202101</v>
      </c>
      <c r="C27" s="1">
        <v>-0.03</v>
      </c>
      <c r="D27" s="1">
        <v>7.5</v>
      </c>
      <c r="E27" s="1">
        <v>2.85</v>
      </c>
      <c r="F27" s="1">
        <v>0.01</v>
      </c>
      <c r="G27" s="1">
        <v>-1.5523529873449975</v>
      </c>
      <c r="H27" s="1">
        <v>-6.7415760311991457</v>
      </c>
      <c r="I27" s="1">
        <v>-6.6286894190239751</v>
      </c>
      <c r="J27" s="1">
        <v>0.22251516846977074</v>
      </c>
      <c r="K27" s="1">
        <v>4.970079822996011</v>
      </c>
      <c r="L27" s="1">
        <v>3.64356058519295</v>
      </c>
      <c r="V27" s="27">
        <f t="shared" si="0"/>
        <v>0.69547753308887983</v>
      </c>
    </row>
    <row r="28" spans="2:22">
      <c r="B28" s="2">
        <v>202102</v>
      </c>
      <c r="C28" s="1">
        <v>2.78</v>
      </c>
      <c r="D28" s="1">
        <v>2.0699999999999998</v>
      </c>
      <c r="E28" s="1">
        <v>7.1</v>
      </c>
      <c r="F28" s="1">
        <v>0</v>
      </c>
      <c r="G28" s="1">
        <v>1.2133888348751285</v>
      </c>
      <c r="H28" s="1">
        <v>3.2888762113201748</v>
      </c>
      <c r="I28" s="1">
        <v>-1.3194733923338824</v>
      </c>
      <c r="J28" s="1">
        <v>-18.285430796057874</v>
      </c>
      <c r="K28" s="1">
        <v>11.222553841760725</v>
      </c>
      <c r="L28" s="1">
        <v>-2.8627370344609049</v>
      </c>
      <c r="V28" s="27">
        <f t="shared" si="0"/>
        <v>0.26140010607576614</v>
      </c>
    </row>
    <row r="29" spans="2:22">
      <c r="B29" s="2">
        <v>202103</v>
      </c>
      <c r="C29" s="1">
        <v>3.08</v>
      </c>
      <c r="D29" s="1">
        <v>-2.2799999999999998</v>
      </c>
      <c r="E29" s="1">
        <v>7.27</v>
      </c>
      <c r="F29" s="1">
        <v>0</v>
      </c>
      <c r="G29" s="1">
        <v>-3.1901278214031015</v>
      </c>
      <c r="H29" s="1">
        <v>-21.78078881091869</v>
      </c>
      <c r="I29" s="1">
        <v>-7.1115866261605349</v>
      </c>
      <c r="J29" s="1">
        <v>7.7511802425764094</v>
      </c>
      <c r="K29" s="1">
        <v>-4.4357788066238886</v>
      </c>
      <c r="L29" s="1">
        <v>4.3637825302448086</v>
      </c>
      <c r="V29" s="27">
        <f t="shared" si="0"/>
        <v>-0.48434885605285882</v>
      </c>
    </row>
    <row r="30" spans="2:22">
      <c r="B30" s="2">
        <v>202104</v>
      </c>
      <c r="C30" s="1">
        <v>4.93</v>
      </c>
      <c r="D30" s="1">
        <v>-3.2</v>
      </c>
      <c r="E30" s="1">
        <v>-0.95</v>
      </c>
      <c r="F30" s="1">
        <v>0</v>
      </c>
      <c r="G30" s="1">
        <v>-1.5699885795148114</v>
      </c>
      <c r="H30" s="1">
        <v>3.7337913155877769E-2</v>
      </c>
      <c r="I30" s="1">
        <v>3.9745261146496778</v>
      </c>
      <c r="J30" s="1">
        <v>-12.336773917407539</v>
      </c>
      <c r="K30" s="1">
        <v>-3.0859449907152592</v>
      </c>
      <c r="L30" s="1">
        <v>-0.98571731688941178</v>
      </c>
      <c r="V30" s="27">
        <f t="shared" si="0"/>
        <v>-1.0263091550455106</v>
      </c>
    </row>
    <row r="31" spans="2:22">
      <c r="B31" s="2">
        <v>202105</v>
      </c>
      <c r="C31" s="1">
        <v>0.28999999999999998</v>
      </c>
      <c r="D31" s="1">
        <v>-0.27</v>
      </c>
      <c r="E31" s="1">
        <v>7.13</v>
      </c>
      <c r="F31" s="1">
        <v>0</v>
      </c>
      <c r="G31" s="1">
        <v>-2.0760655154262135</v>
      </c>
      <c r="H31" s="1">
        <v>-6.7572586224207392</v>
      </c>
      <c r="I31" s="1">
        <v>-1.8867936086696833</v>
      </c>
      <c r="J31" s="1">
        <v>-0.54880178425195947</v>
      </c>
      <c r="K31" s="1">
        <v>1.6052657894736762</v>
      </c>
      <c r="L31" s="1">
        <v>4.0066348052262724</v>
      </c>
      <c r="V31" s="27">
        <f t="shared" si="0"/>
        <v>0.5004942200235083</v>
      </c>
    </row>
    <row r="32" spans="2:22">
      <c r="B32" s="2">
        <v>202106</v>
      </c>
      <c r="C32" s="1">
        <v>2.75</v>
      </c>
      <c r="D32" s="1">
        <v>1.6</v>
      </c>
      <c r="E32" s="1">
        <v>-7.75</v>
      </c>
      <c r="F32" s="1">
        <v>0</v>
      </c>
      <c r="G32" s="1">
        <v>5.0516147453376563</v>
      </c>
      <c r="H32" s="1">
        <v>1.7136451404623276</v>
      </c>
      <c r="I32" s="1">
        <v>17.295201865754215</v>
      </c>
      <c r="J32" s="1">
        <v>18.919985298646893</v>
      </c>
      <c r="K32" s="1">
        <v>4.6361071060319423</v>
      </c>
      <c r="L32" s="1">
        <v>-2.0574241522474446</v>
      </c>
      <c r="V32" s="27">
        <f t="shared" si="0"/>
        <v>5.3061263486691947</v>
      </c>
    </row>
    <row r="33" spans="2:22">
      <c r="B33" s="2">
        <v>202107</v>
      </c>
      <c r="C33" s="1">
        <v>1.27</v>
      </c>
      <c r="D33" s="1">
        <v>-3.94</v>
      </c>
      <c r="E33" s="1">
        <v>-1.81</v>
      </c>
      <c r="F33" s="1">
        <v>0</v>
      </c>
      <c r="G33" s="1">
        <v>-2.0143531089608802</v>
      </c>
      <c r="H33" s="1">
        <v>-27.877497115670696</v>
      </c>
      <c r="I33" s="1">
        <v>13.052275098477589</v>
      </c>
      <c r="J33" s="1">
        <v>-4.9386818044706224</v>
      </c>
      <c r="K33" s="1">
        <v>0.5445470027451963</v>
      </c>
      <c r="L33" s="1">
        <v>4.528340980138168</v>
      </c>
      <c r="V33" s="27">
        <f t="shared" si="0"/>
        <v>0.69678380528357908</v>
      </c>
    </row>
    <row r="34" spans="2:22">
      <c r="B34" s="2">
        <v>202108</v>
      </c>
      <c r="C34" s="1">
        <v>2.91</v>
      </c>
      <c r="D34" s="1">
        <v>-0.46</v>
      </c>
      <c r="E34" s="1">
        <v>-0.1</v>
      </c>
      <c r="F34" s="1">
        <v>0</v>
      </c>
      <c r="G34" s="1">
        <v>9.9735290495687501</v>
      </c>
      <c r="H34" s="1">
        <v>9.1802160334001162</v>
      </c>
      <c r="I34" s="1">
        <v>4.2659373902262372</v>
      </c>
      <c r="J34" s="1">
        <v>9.2515096553752905</v>
      </c>
      <c r="K34" s="1">
        <v>-2.1171861673359391</v>
      </c>
      <c r="L34" s="1">
        <v>0.54008395042932644</v>
      </c>
      <c r="V34" s="27">
        <f t="shared" si="0"/>
        <v>3.4429252980680802</v>
      </c>
    </row>
    <row r="35" spans="2:22">
      <c r="B35" s="2">
        <v>202109</v>
      </c>
      <c r="C35" s="1">
        <v>-4.37</v>
      </c>
      <c r="D35" s="1">
        <v>0.67</v>
      </c>
      <c r="E35" s="1">
        <v>5.0999999999999996</v>
      </c>
      <c r="F35" s="1">
        <v>0</v>
      </c>
      <c r="G35" s="1">
        <v>7.2295762145168379</v>
      </c>
      <c r="H35" s="1">
        <v>-9.3481296545129844</v>
      </c>
      <c r="I35" s="1">
        <v>-7.0628603047068221</v>
      </c>
      <c r="J35" s="1">
        <v>1.5531904255319109</v>
      </c>
      <c r="K35" s="1">
        <v>12.097591151790292</v>
      </c>
      <c r="L35" s="1">
        <v>-6.1631947207965947</v>
      </c>
      <c r="V35" s="27">
        <f t="shared" si="0"/>
        <v>0.13305710040720475</v>
      </c>
    </row>
    <row r="36" spans="2:22">
      <c r="B36" s="2">
        <v>202110</v>
      </c>
      <c r="C36" s="1">
        <v>6.65</v>
      </c>
      <c r="D36" s="1">
        <v>-2.37</v>
      </c>
      <c r="E36" s="1">
        <v>-0.45</v>
      </c>
      <c r="F36" s="1">
        <v>0</v>
      </c>
      <c r="G36" s="1">
        <v>13.102527683310536</v>
      </c>
      <c r="H36" s="1">
        <v>-1.9300761427170208</v>
      </c>
      <c r="I36" s="1">
        <v>16.841594424847528</v>
      </c>
      <c r="J36" s="1">
        <v>25.277600306700197</v>
      </c>
      <c r="K36" s="1">
        <v>3.0289387480367949</v>
      </c>
      <c r="L36" s="1">
        <v>0.8544931700852354</v>
      </c>
      <c r="V36" s="27">
        <f t="shared" si="0"/>
        <v>8.0296714789836781</v>
      </c>
    </row>
    <row r="37" spans="2:22">
      <c r="B37" s="2">
        <v>202111</v>
      </c>
      <c r="C37" s="1">
        <v>-1.55</v>
      </c>
      <c r="D37" s="1">
        <v>-1.32</v>
      </c>
      <c r="E37" s="1">
        <v>-0.41</v>
      </c>
      <c r="F37" s="1">
        <v>0</v>
      </c>
      <c r="G37" s="1">
        <v>-7.0127876085027987</v>
      </c>
      <c r="H37" s="1">
        <v>-25.213673531571612</v>
      </c>
      <c r="I37" s="1">
        <v>31.722524368563803</v>
      </c>
      <c r="J37" s="1">
        <v>-13.370681942325676</v>
      </c>
      <c r="K37" s="1">
        <v>-8.4494711868236649</v>
      </c>
      <c r="L37" s="1">
        <v>-4.2669505528855511</v>
      </c>
      <c r="V37" s="27">
        <f t="shared" si="0"/>
        <v>-3.3312897278138038</v>
      </c>
    </row>
    <row r="38" spans="2:22">
      <c r="B38" s="2">
        <v>202112</v>
      </c>
      <c r="C38" s="1">
        <v>3.1</v>
      </c>
      <c r="D38" s="1">
        <v>-1.64</v>
      </c>
      <c r="E38" s="1">
        <v>3.22</v>
      </c>
      <c r="F38" s="1">
        <v>0.01</v>
      </c>
      <c r="G38" s="1">
        <v>-6.157378178007356</v>
      </c>
      <c r="H38" s="1">
        <v>-12.340828571428572</v>
      </c>
      <c r="I38" s="1">
        <v>-9.1468323905042723</v>
      </c>
      <c r="J38" s="1">
        <v>-15.878720383566028</v>
      </c>
      <c r="K38" s="1">
        <v>3.2250165738578458</v>
      </c>
      <c r="L38" s="1">
        <v>10.418088079123189</v>
      </c>
      <c r="V38" s="27">
        <f t="shared" si="0"/>
        <v>-0.23132785749805329</v>
      </c>
    </row>
    <row r="39" spans="2:22">
      <c r="B39" s="2">
        <v>202201</v>
      </c>
      <c r="C39" s="1">
        <v>-6.25</v>
      </c>
      <c r="D39" s="1">
        <v>-5.96</v>
      </c>
      <c r="E39" s="1">
        <v>12.8</v>
      </c>
      <c r="F39" s="1">
        <v>0</v>
      </c>
      <c r="G39" s="1">
        <v>-29.098331189501597</v>
      </c>
      <c r="H39" s="1">
        <v>2.6415111945370766</v>
      </c>
      <c r="I39" s="1">
        <v>-20.604583207974279</v>
      </c>
      <c r="J39" s="1">
        <v>-10.073435746974035</v>
      </c>
      <c r="K39" s="1">
        <v>18.433178874047059</v>
      </c>
      <c r="L39" s="1">
        <v>0.71316568372252753</v>
      </c>
      <c r="V39" s="27">
        <f t="shared" si="0"/>
        <v>-4.5319184517071092</v>
      </c>
    </row>
    <row r="40" spans="2:22">
      <c r="B40" s="2">
        <v>202202</v>
      </c>
      <c r="C40" s="1">
        <v>-2.29</v>
      </c>
      <c r="D40" s="1">
        <v>2.19</v>
      </c>
      <c r="E40" s="1">
        <v>3.1</v>
      </c>
      <c r="F40" s="1">
        <v>0</v>
      </c>
      <c r="G40" s="1">
        <v>-7.6368461990150918</v>
      </c>
      <c r="H40" s="1">
        <v>-13.33555982620322</v>
      </c>
      <c r="I40" s="1">
        <v>7.9562328227571113</v>
      </c>
      <c r="J40" s="1">
        <v>-3.9423272751592462</v>
      </c>
      <c r="K40" s="1">
        <v>1.9260641273905057</v>
      </c>
      <c r="L40" s="1">
        <v>-4.4808107842645768</v>
      </c>
      <c r="V40" s="27">
        <f t="shared" si="0"/>
        <v>-2.4322140379249646</v>
      </c>
    </row>
    <row r="41" spans="2:22">
      <c r="B41" s="2">
        <v>202203</v>
      </c>
      <c r="C41" s="1">
        <v>3.06</v>
      </c>
      <c r="D41" s="1">
        <v>-1.66</v>
      </c>
      <c r="E41" s="1">
        <v>-1.76</v>
      </c>
      <c r="F41" s="1">
        <v>0.01</v>
      </c>
      <c r="G41" s="1">
        <v>-5.0617067716941513</v>
      </c>
      <c r="H41" s="1">
        <v>-22.667153438928782</v>
      </c>
      <c r="I41" s="1">
        <v>-11.360738166069018</v>
      </c>
      <c r="J41" s="1">
        <v>11.213265888919294</v>
      </c>
      <c r="K41" s="1">
        <v>4.8382554847920431</v>
      </c>
      <c r="L41" s="1">
        <v>8.3740651661864174</v>
      </c>
      <c r="V41" s="27">
        <f t="shared" si="0"/>
        <v>1.8860635397698253</v>
      </c>
    </row>
    <row r="42" spans="2:22">
      <c r="B42" s="2">
        <v>202204</v>
      </c>
      <c r="C42" s="1">
        <v>-9.4600000000000009</v>
      </c>
      <c r="D42" s="1">
        <v>-1.38</v>
      </c>
      <c r="E42" s="1">
        <v>6.17</v>
      </c>
      <c r="F42" s="1">
        <v>0.01</v>
      </c>
      <c r="G42" s="1">
        <v>-49.191771261184449</v>
      </c>
      <c r="H42" s="1">
        <v>7.4195660077395829</v>
      </c>
      <c r="I42" s="1">
        <v>-21.795256878919218</v>
      </c>
      <c r="J42" s="1">
        <v>-12.799585927623257</v>
      </c>
      <c r="K42" s="1">
        <v>-2.7407482250136534</v>
      </c>
      <c r="L42" s="1">
        <v>1.81251237781339</v>
      </c>
      <c r="V42" s="27">
        <f t="shared" si="0"/>
        <v>-11.954344786864157</v>
      </c>
    </row>
    <row r="43" spans="2:22">
      <c r="B43" s="2">
        <v>202205</v>
      </c>
      <c r="C43" s="1">
        <v>-0.34</v>
      </c>
      <c r="D43" s="1">
        <v>-1.96</v>
      </c>
      <c r="E43" s="1">
        <v>8.59</v>
      </c>
      <c r="F43" s="1">
        <v>0.03</v>
      </c>
      <c r="G43" s="1">
        <v>3.6892692597222569</v>
      </c>
      <c r="H43" s="1">
        <v>16.818452077048029</v>
      </c>
      <c r="I43" s="1">
        <v>19.07664706875515</v>
      </c>
      <c r="J43" s="1">
        <v>-3.3437040026523981</v>
      </c>
      <c r="K43" s="1">
        <v>10.806610518435344</v>
      </c>
      <c r="L43" s="1">
        <v>-0.54539454784553798</v>
      </c>
      <c r="V43" s="27">
        <f t="shared" si="0"/>
        <v>4.5847663841611954</v>
      </c>
    </row>
    <row r="44" spans="2:22">
      <c r="B44" s="2">
        <v>202206</v>
      </c>
      <c r="C44" s="1">
        <v>-8.44</v>
      </c>
      <c r="D44" s="1">
        <v>2.1800000000000002</v>
      </c>
      <c r="E44" s="1">
        <v>-6.1</v>
      </c>
      <c r="F44" s="1">
        <v>0.06</v>
      </c>
      <c r="G44" s="1">
        <v>-11.491324337202958</v>
      </c>
      <c r="H44" s="1">
        <v>22.680817189307536</v>
      </c>
      <c r="I44" s="1">
        <v>-24.986369282089445</v>
      </c>
      <c r="J44" s="1">
        <v>-3.5722560046415999</v>
      </c>
      <c r="K44" s="1">
        <v>-11.762127461970165</v>
      </c>
      <c r="L44" s="1">
        <v>-0.5497687110637095</v>
      </c>
      <c r="V44" s="27">
        <f t="shared" si="0"/>
        <v>-7.378586237979917</v>
      </c>
    </row>
    <row r="45" spans="2:22">
      <c r="B45" s="2">
        <v>202207</v>
      </c>
      <c r="C45" s="1">
        <v>9.57</v>
      </c>
      <c r="D45" s="1">
        <v>2.8</v>
      </c>
      <c r="E45" s="1">
        <v>-4.03</v>
      </c>
      <c r="F45" s="1">
        <v>0.08</v>
      </c>
      <c r="G45" s="1">
        <v>28.529824687191194</v>
      </c>
      <c r="H45" s="1">
        <v>-20.77579483326528</v>
      </c>
      <c r="I45" s="1">
        <v>23.458642297127735</v>
      </c>
      <c r="J45" s="1">
        <v>45.479962376044149</v>
      </c>
      <c r="K45" s="1">
        <v>2.0045285506879287</v>
      </c>
      <c r="L45" s="1">
        <v>-1.7644163637726895</v>
      </c>
      <c r="V45" s="27">
        <f t="shared" si="0"/>
        <v>11.872494430791809</v>
      </c>
    </row>
    <row r="46" spans="2:22">
      <c r="B46" s="2">
        <v>202208</v>
      </c>
      <c r="C46" s="1">
        <v>-3.77</v>
      </c>
      <c r="D46" s="1">
        <v>1.4</v>
      </c>
      <c r="E46" s="1">
        <v>0.28999999999999998</v>
      </c>
      <c r="F46" s="1">
        <v>0.19</v>
      </c>
      <c r="G46" s="1">
        <v>-0.78581860193379338</v>
      </c>
      <c r="H46" s="1">
        <v>45.290526238748264</v>
      </c>
      <c r="I46" s="1">
        <v>-10.351953951921731</v>
      </c>
      <c r="J46" s="1">
        <v>28.427531080317248</v>
      </c>
      <c r="K46" s="1">
        <v>-0.93934618303960526</v>
      </c>
      <c r="L46" s="1">
        <v>-7.7421393033546666</v>
      </c>
      <c r="V46" s="27">
        <f t="shared" si="0"/>
        <v>1.0195374009073983</v>
      </c>
    </row>
    <row r="47" spans="2:22">
      <c r="B47" s="2">
        <v>202209</v>
      </c>
      <c r="C47" s="1">
        <v>-9.35</v>
      </c>
      <c r="D47" s="1">
        <v>-0.82</v>
      </c>
      <c r="E47" s="1">
        <v>0.02</v>
      </c>
      <c r="F47" s="1">
        <v>0.19</v>
      </c>
      <c r="G47" s="1">
        <v>5.1240114986044976</v>
      </c>
      <c r="H47" s="1">
        <v>-12.420014913183106</v>
      </c>
      <c r="I47" s="1">
        <v>-25.534646211453538</v>
      </c>
      <c r="J47" s="1">
        <v>3.5105103010464029</v>
      </c>
      <c r="K47" s="1">
        <v>-6.2677689694224128</v>
      </c>
      <c r="L47" s="1">
        <v>1.7423139794528377</v>
      </c>
      <c r="V47" s="27">
        <f t="shared" si="0"/>
        <v>-4.3899719272812989</v>
      </c>
    </row>
    <row r="48" spans="2:22">
      <c r="B48" s="2">
        <v>202210</v>
      </c>
      <c r="C48" s="1">
        <v>7.83</v>
      </c>
      <c r="D48" s="1">
        <v>7.0000000000000007E-2</v>
      </c>
      <c r="E48" s="1">
        <v>8.06</v>
      </c>
      <c r="F48" s="1">
        <v>0.23</v>
      </c>
      <c r="G48" s="1">
        <v>23.742138345462635</v>
      </c>
      <c r="H48" s="1">
        <v>-12.614147894402432</v>
      </c>
      <c r="I48" s="1">
        <v>-5.4383332511311</v>
      </c>
      <c r="J48" s="1">
        <v>9.8251921053846818</v>
      </c>
      <c r="K48" s="1">
        <v>11.566630297292207</v>
      </c>
      <c r="L48" s="1">
        <v>6.2648732339200617</v>
      </c>
      <c r="V48" s="27">
        <f t="shared" si="0"/>
        <v>8.5036362824329803</v>
      </c>
    </row>
    <row r="49" spans="2:22">
      <c r="B49" s="2">
        <v>202211</v>
      </c>
      <c r="C49" s="1">
        <v>4.6100000000000003</v>
      </c>
      <c r="D49" s="1">
        <v>-3.51</v>
      </c>
      <c r="E49" s="1">
        <v>1.41</v>
      </c>
      <c r="F49" s="1">
        <v>0.28999999999999998</v>
      </c>
      <c r="G49" s="1">
        <v>4.3865772804478311</v>
      </c>
      <c r="H49" s="1">
        <v>49.336113455184638</v>
      </c>
      <c r="I49" s="1">
        <v>28.964072106991814</v>
      </c>
      <c r="J49" s="1">
        <v>18.230293126042099</v>
      </c>
      <c r="K49" s="1">
        <v>4.8151589950537721</v>
      </c>
      <c r="L49" s="1">
        <v>2.0264828167857143</v>
      </c>
      <c r="V49" s="27">
        <f t="shared" si="0"/>
        <v>9.6349158103244736</v>
      </c>
    </row>
    <row r="50" spans="2:22">
      <c r="B50" s="2">
        <v>202212</v>
      </c>
      <c r="C50" s="1">
        <v>-6.41</v>
      </c>
      <c r="D50" s="1">
        <v>-0.69</v>
      </c>
      <c r="E50" s="1">
        <v>1.34</v>
      </c>
      <c r="F50" s="1">
        <v>0.33</v>
      </c>
      <c r="G50" s="1">
        <v>-3.8157441281895186</v>
      </c>
      <c r="H50" s="1">
        <v>-0.92726717945798165</v>
      </c>
      <c r="I50" s="1">
        <v>-16.89576129972026</v>
      </c>
      <c r="J50" s="1">
        <v>-13.510320020751864</v>
      </c>
      <c r="K50" s="1">
        <v>-2.9296236942085963</v>
      </c>
      <c r="L50" s="1">
        <v>-0.44785431311566176</v>
      </c>
      <c r="V50" s="27">
        <f t="shared" si="0"/>
        <v>-5.4540013901952946</v>
      </c>
    </row>
    <row r="51" spans="2:22">
      <c r="B51" s="2">
        <v>202301</v>
      </c>
      <c r="C51" s="1">
        <v>6.64</v>
      </c>
      <c r="D51" s="1">
        <v>5.01</v>
      </c>
      <c r="E51" s="1">
        <v>-4</v>
      </c>
      <c r="F51" s="1">
        <v>0.35</v>
      </c>
      <c r="G51" s="1">
        <v>19.651349362429649</v>
      </c>
      <c r="H51" s="1">
        <v>19.797148247192574</v>
      </c>
      <c r="I51" s="1">
        <v>15.675946396137698</v>
      </c>
      <c r="J51" s="1">
        <v>18.216001935790192</v>
      </c>
      <c r="K51" s="1">
        <v>2.9160227696923124</v>
      </c>
      <c r="L51" s="1">
        <v>-7.8393957020915721</v>
      </c>
      <c r="V51" s="27">
        <f t="shared" si="0"/>
        <v>6.9338739237421274</v>
      </c>
    </row>
    <row r="52" spans="2:22">
      <c r="B52" s="2">
        <v>202302</v>
      </c>
      <c r="C52" s="1">
        <v>-2.59</v>
      </c>
      <c r="D52" s="1">
        <v>1.17</v>
      </c>
      <c r="E52" s="1">
        <v>-0.83</v>
      </c>
      <c r="F52" s="1">
        <v>0.34</v>
      </c>
      <c r="G52" s="1">
        <v>-9.3068177655068887</v>
      </c>
      <c r="H52" s="1">
        <v>-10.801318316146613</v>
      </c>
      <c r="I52" s="1">
        <v>4.2242048020171614</v>
      </c>
      <c r="J52" s="1">
        <v>-5.1035172940253268</v>
      </c>
      <c r="K52" s="1">
        <v>2.9927647792422305</v>
      </c>
      <c r="L52" s="1">
        <v>-6.5571047925762116</v>
      </c>
      <c r="V52" s="27">
        <f t="shared" si="0"/>
        <v>-3.3911359490159687</v>
      </c>
    </row>
    <row r="53" spans="2:22">
      <c r="B53" s="2">
        <v>202303</v>
      </c>
      <c r="C53" s="1">
        <v>2.5099999999999998</v>
      </c>
      <c r="D53" s="1">
        <v>-5.51</v>
      </c>
      <c r="E53" s="1">
        <v>-8.8699999999999992</v>
      </c>
      <c r="F53" s="1">
        <v>0.36</v>
      </c>
      <c r="G53" s="1">
        <v>6.8886280810755292</v>
      </c>
      <c r="H53" s="1">
        <v>-13.844555563049502</v>
      </c>
      <c r="I53" s="1">
        <v>24.366392855016734</v>
      </c>
      <c r="J53" s="1">
        <v>28.231699944375677</v>
      </c>
      <c r="K53" s="1">
        <v>-5.6751209478361142</v>
      </c>
      <c r="L53" s="1">
        <v>1.5027381608878003</v>
      </c>
      <c r="V53" s="27">
        <f t="shared" si="0"/>
        <v>5.3950796730697572</v>
      </c>
    </row>
    <row r="54" spans="2:22">
      <c r="B54" s="2">
        <v>202304</v>
      </c>
      <c r="C54" s="1">
        <v>0.61</v>
      </c>
      <c r="D54" s="1">
        <v>-3.36</v>
      </c>
      <c r="E54" s="1">
        <v>-0.05</v>
      </c>
      <c r="F54" s="1">
        <v>0.35</v>
      </c>
      <c r="G54" s="1">
        <v>-4.8509892048428718</v>
      </c>
      <c r="H54" s="1">
        <v>-10.560803420005179</v>
      </c>
      <c r="I54" s="1">
        <v>-9.165425797052837</v>
      </c>
      <c r="J54" s="1">
        <v>-16.405171494252873</v>
      </c>
      <c r="K54" s="1">
        <v>7.366369347994973</v>
      </c>
      <c r="L54" s="1">
        <v>5.2628991494739825</v>
      </c>
      <c r="V54" s="27">
        <f t="shared" si="0"/>
        <v>-0.93571278742426012</v>
      </c>
    </row>
    <row r="55" spans="2:22">
      <c r="B55" s="2">
        <v>202305</v>
      </c>
      <c r="C55" s="1">
        <v>0.35</v>
      </c>
      <c r="D55" s="1">
        <v>1.6</v>
      </c>
      <c r="E55" s="1">
        <v>-7.74</v>
      </c>
      <c r="F55" s="1">
        <v>0.36</v>
      </c>
      <c r="G55" s="1">
        <v>19.432082982889028</v>
      </c>
      <c r="H55" s="1">
        <v>-4.5126073616256202</v>
      </c>
      <c r="I55" s="1">
        <v>31.910331243023457</v>
      </c>
      <c r="J55" s="1">
        <v>10.802232871483911</v>
      </c>
      <c r="K55" s="1">
        <v>-10.00827363665698</v>
      </c>
      <c r="L55" s="1">
        <v>-5.637951514745061</v>
      </c>
      <c r="V55" s="27">
        <f t="shared" si="0"/>
        <v>3.5612338427268768</v>
      </c>
    </row>
    <row r="56" spans="2:22">
      <c r="B56" s="2">
        <v>202306</v>
      </c>
      <c r="C56" s="1">
        <v>6.47</v>
      </c>
      <c r="D56" s="1">
        <v>1.55</v>
      </c>
      <c r="E56" s="1">
        <v>-0.2</v>
      </c>
      <c r="F56" s="1">
        <v>0.4</v>
      </c>
      <c r="G56" s="1">
        <v>11.051554219145567</v>
      </c>
      <c r="H56" s="1">
        <v>5.4481307409675601</v>
      </c>
      <c r="I56" s="1">
        <v>-4.0375899131849211</v>
      </c>
      <c r="J56" s="1">
        <v>-6.7411561667910167</v>
      </c>
      <c r="K56" s="1">
        <v>7.4214303571428566</v>
      </c>
      <c r="L56" s="1">
        <v>7.1511713840834989</v>
      </c>
      <c r="V56" s="27">
        <f t="shared" si="0"/>
        <v>5.051634109795736</v>
      </c>
    </row>
    <row r="57" spans="2:22">
      <c r="B57" s="2">
        <v>202307</v>
      </c>
      <c r="C57" s="1">
        <v>3.21</v>
      </c>
      <c r="D57" s="1">
        <v>2.0499999999999998</v>
      </c>
      <c r="E57" s="1">
        <v>4.1100000000000003</v>
      </c>
      <c r="F57" s="1">
        <v>0.45</v>
      </c>
      <c r="G57" s="1">
        <v>-0.79506777327674416</v>
      </c>
      <c r="H57" s="1">
        <v>29.460328751957299</v>
      </c>
      <c r="I57" s="1">
        <v>-1.9837606186020484E-2</v>
      </c>
      <c r="J57" s="1">
        <v>8.6562119860321207</v>
      </c>
      <c r="K57" s="1">
        <v>1.6202218935041088</v>
      </c>
      <c r="L57" s="1">
        <v>0.76434880720603371</v>
      </c>
      <c r="V57" s="27">
        <f t="shared" si="0"/>
        <v>3.1157385015196017</v>
      </c>
    </row>
    <row r="58" spans="2:22">
      <c r="B58" s="2">
        <v>202308</v>
      </c>
      <c r="C58" s="1">
        <v>-2.39</v>
      </c>
      <c r="D58" s="1">
        <v>-3.2</v>
      </c>
      <c r="E58" s="1">
        <v>-1.08</v>
      </c>
      <c r="F58" s="1">
        <v>0.45</v>
      </c>
      <c r="G58" s="1">
        <v>-1.6550955618718919</v>
      </c>
      <c r="H58" s="1">
        <v>9.737041861500785</v>
      </c>
      <c r="I58" s="1">
        <v>-8.0374133288913789</v>
      </c>
      <c r="J58" s="1">
        <v>-9.2638859830439539</v>
      </c>
      <c r="K58" s="1">
        <v>0.29638811055674541</v>
      </c>
      <c r="L58" s="1">
        <v>-3.9419070449804803</v>
      </c>
      <c r="V58" s="27">
        <f t="shared" si="0"/>
        <v>-2.8838763943343269</v>
      </c>
    </row>
    <row r="59" spans="2:22">
      <c r="B59" s="2">
        <v>202309</v>
      </c>
      <c r="C59" s="1">
        <v>-5.24</v>
      </c>
      <c r="D59" s="1">
        <v>-2.4900000000000002</v>
      </c>
      <c r="E59" s="1">
        <v>1.45</v>
      </c>
      <c r="F59" s="1">
        <v>0.43</v>
      </c>
      <c r="G59" s="1">
        <v>-13.361190717852647</v>
      </c>
      <c r="H59" s="1">
        <v>-1.3393674759081826</v>
      </c>
      <c r="I59" s="1">
        <v>-3.1730958877875941</v>
      </c>
      <c r="J59" s="1">
        <v>-14.986894949156474</v>
      </c>
      <c r="K59" s="1">
        <v>3.2581897245933309</v>
      </c>
      <c r="L59" s="1">
        <v>-3.398305723837872</v>
      </c>
      <c r="V59" s="27">
        <f t="shared" si="0"/>
        <v>-4.9826347069258849</v>
      </c>
    </row>
    <row r="60" spans="2:22">
      <c r="B60" s="2">
        <v>202310</v>
      </c>
      <c r="C60" s="1">
        <v>-3.18</v>
      </c>
      <c r="D60" s="1">
        <v>-3.88</v>
      </c>
      <c r="E60" s="1">
        <v>0.19</v>
      </c>
      <c r="F60" s="1">
        <v>0.47</v>
      </c>
      <c r="G60" s="1">
        <v>8.5580708311217499</v>
      </c>
      <c r="H60" s="1">
        <v>2.9459253594371515</v>
      </c>
      <c r="I60" s="1">
        <v>-4.6715172145496924</v>
      </c>
      <c r="J60" s="1">
        <v>-12.314792050121726</v>
      </c>
      <c r="K60" s="1">
        <v>0.71049399722712026</v>
      </c>
      <c r="L60" s="1">
        <v>-5.2276485866718359</v>
      </c>
      <c r="V60" s="27">
        <f t="shared" si="0"/>
        <v>-2.0844250244620817</v>
      </c>
    </row>
    <row r="61" spans="2:22">
      <c r="B61" s="2">
        <v>202311</v>
      </c>
      <c r="C61" s="1">
        <v>8.83</v>
      </c>
      <c r="D61" s="1">
        <v>-0.03</v>
      </c>
      <c r="E61" s="1">
        <v>1.66</v>
      </c>
      <c r="F61" s="1">
        <v>0.44</v>
      </c>
      <c r="G61" s="1">
        <v>14.68788717176572</v>
      </c>
      <c r="H61" s="1">
        <v>44.935670388003736</v>
      </c>
      <c r="I61" s="1">
        <v>22.565080203045685</v>
      </c>
      <c r="J61" s="1">
        <v>10.321672392313218</v>
      </c>
      <c r="K61" s="1">
        <v>0.5732084896102021</v>
      </c>
      <c r="L61" s="1">
        <v>3.8205002701195272</v>
      </c>
      <c r="V61" s="27">
        <f t="shared" si="0"/>
        <v>9.8920072371808008</v>
      </c>
    </row>
    <row r="62" spans="2:22">
      <c r="B62" s="2">
        <v>202312</v>
      </c>
      <c r="C62" s="1">
        <v>4.87</v>
      </c>
      <c r="D62" s="1">
        <v>6.36</v>
      </c>
      <c r="E62" s="1">
        <v>4.92</v>
      </c>
      <c r="F62" s="1">
        <v>0.43</v>
      </c>
      <c r="G62" s="1">
        <v>2.2938019226453021</v>
      </c>
      <c r="H62" s="1">
        <v>-1.1964161588928799</v>
      </c>
      <c r="I62" s="1">
        <v>21.235565478191951</v>
      </c>
      <c r="J62" s="1">
        <v>8.7600114665357562</v>
      </c>
      <c r="K62" s="1">
        <v>-0.43</v>
      </c>
      <c r="L62" s="1">
        <v>1.7264678787846293</v>
      </c>
      <c r="V62" s="27">
        <f t="shared" si="0"/>
        <v>4.452811171784659</v>
      </c>
    </row>
    <row r="69" spans="2:7">
      <c r="B69" t="s">
        <v>59</v>
      </c>
      <c r="D69" t="s">
        <v>138</v>
      </c>
    </row>
    <row r="70" spans="2:7" ht="15" thickBot="1"/>
    <row r="71" spans="2:7">
      <c r="B71" s="16" t="s">
        <v>10</v>
      </c>
      <c r="C71" s="16"/>
    </row>
    <row r="72" spans="2:7">
      <c r="B72" t="s">
        <v>11</v>
      </c>
      <c r="C72">
        <v>0.90534265382493651</v>
      </c>
    </row>
    <row r="73" spans="2:7">
      <c r="B73" t="s">
        <v>12</v>
      </c>
      <c r="C73">
        <v>0.81964532083477881</v>
      </c>
    </row>
    <row r="74" spans="2:7">
      <c r="B74" t="s">
        <v>13</v>
      </c>
      <c r="C74">
        <v>0.80998346302235624</v>
      </c>
    </row>
    <row r="75" spans="2:7">
      <c r="B75" t="s">
        <v>14</v>
      </c>
      <c r="C75">
        <v>2.5373563746223113</v>
      </c>
    </row>
    <row r="76" spans="2:7" ht="15" thickBot="1">
      <c r="B76" s="14" t="s">
        <v>15</v>
      </c>
      <c r="C76" s="14">
        <v>60</v>
      </c>
    </row>
    <row r="78" spans="2:7" ht="15" thickBot="1">
      <c r="B78" t="s">
        <v>16</v>
      </c>
    </row>
    <row r="79" spans="2:7">
      <c r="B79" s="15"/>
      <c r="C79" s="15" t="s">
        <v>20</v>
      </c>
      <c r="D79" s="15" t="s">
        <v>21</v>
      </c>
      <c r="E79" s="15" t="s">
        <v>22</v>
      </c>
      <c r="F79" s="15" t="s">
        <v>23</v>
      </c>
      <c r="G79" s="15" t="s">
        <v>24</v>
      </c>
    </row>
    <row r="80" spans="2:7">
      <c r="B80" t="s">
        <v>17</v>
      </c>
      <c r="C80">
        <v>3</v>
      </c>
      <c r="D80">
        <v>1638.5115761314412</v>
      </c>
      <c r="E80">
        <v>546.1705253771471</v>
      </c>
      <c r="F80">
        <v>84.833096982749467</v>
      </c>
      <c r="G80">
        <v>8.1620889122907668E-21</v>
      </c>
    </row>
    <row r="81" spans="2:10">
      <c r="B81" t="s">
        <v>18</v>
      </c>
      <c r="C81">
        <v>56</v>
      </c>
      <c r="D81">
        <v>360.53793282284283</v>
      </c>
      <c r="E81">
        <v>6.4381773718364794</v>
      </c>
    </row>
    <row r="82" spans="2:10" ht="15" thickBot="1">
      <c r="B82" s="14" t="s">
        <v>19</v>
      </c>
      <c r="C82" s="14">
        <v>59</v>
      </c>
      <c r="D82" s="14">
        <v>1999.049508954284</v>
      </c>
      <c r="E82" s="14"/>
      <c r="F82" s="14"/>
      <c r="G82" s="14"/>
    </row>
    <row r="83" spans="2:10" ht="15" thickBot="1"/>
    <row r="84" spans="2:10">
      <c r="B84" s="15"/>
      <c r="C84" s="15" t="s">
        <v>25</v>
      </c>
      <c r="D84" s="15" t="s">
        <v>14</v>
      </c>
      <c r="E84" s="15" t="s">
        <v>26</v>
      </c>
      <c r="F84" s="15" t="s">
        <v>27</v>
      </c>
      <c r="G84" s="15" t="s">
        <v>28</v>
      </c>
      <c r="H84" s="15" t="s">
        <v>29</v>
      </c>
      <c r="I84" s="15" t="s">
        <v>30</v>
      </c>
      <c r="J84" s="15" t="s">
        <v>31</v>
      </c>
    </row>
    <row r="85" spans="2:10">
      <c r="B85" t="s">
        <v>60</v>
      </c>
      <c r="C85">
        <v>0.53619002964908169</v>
      </c>
      <c r="D85">
        <v>0.33651730043691702</v>
      </c>
      <c r="E85">
        <v>1.5933505616291339</v>
      </c>
      <c r="F85">
        <v>0.11671088182126116</v>
      </c>
      <c r="G85">
        <v>-0.13793512918291351</v>
      </c>
      <c r="H85">
        <v>1.210315188481077</v>
      </c>
      <c r="I85">
        <v>-0.13793512918291351</v>
      </c>
      <c r="J85">
        <v>1.210315188481077</v>
      </c>
    </row>
    <row r="86" spans="2:10">
      <c r="B86" t="s">
        <v>69</v>
      </c>
      <c r="C86">
        <v>0.92275952128639049</v>
      </c>
      <c r="D86">
        <v>6.3050524662635624E-2</v>
      </c>
      <c r="E86">
        <v>14.635239377051958</v>
      </c>
      <c r="F86">
        <v>8.6480884669840286E-21</v>
      </c>
      <c r="G86">
        <v>0.79645414293747674</v>
      </c>
      <c r="H86">
        <v>1.0490648996353042</v>
      </c>
      <c r="I86">
        <v>0.79645414293747674</v>
      </c>
      <c r="J86">
        <v>1.0490648996353042</v>
      </c>
    </row>
    <row r="87" spans="2:10">
      <c r="B87" t="s">
        <v>61</v>
      </c>
      <c r="C87">
        <v>0.14007222885332105</v>
      </c>
      <c r="D87">
        <v>0.12019880891579886</v>
      </c>
      <c r="E87">
        <v>1.1653379107229243</v>
      </c>
      <c r="F87">
        <v>0.2488220666179862</v>
      </c>
      <c r="G87">
        <v>-0.10071491952382194</v>
      </c>
      <c r="H87">
        <v>0.38085937723046404</v>
      </c>
      <c r="I87">
        <v>-0.10071491952382194</v>
      </c>
      <c r="J87">
        <v>0.38085937723046404</v>
      </c>
    </row>
    <row r="88" spans="2:10" ht="15" thickBot="1">
      <c r="B88" s="14" t="s">
        <v>62</v>
      </c>
      <c r="C88" s="14">
        <v>-5.9308002163345544E-2</v>
      </c>
      <c r="D88" s="14">
        <v>7.0275492943112097E-2</v>
      </c>
      <c r="E88" s="14">
        <v>-0.84393576878009635</v>
      </c>
      <c r="F88" s="14">
        <v>0.40229607000284617</v>
      </c>
      <c r="G88" s="14">
        <v>-0.20008673116409403</v>
      </c>
      <c r="H88" s="14">
        <v>8.1470726837402932E-2</v>
      </c>
      <c r="I88" s="14">
        <v>-0.20008673116409403</v>
      </c>
      <c r="J88" s="14">
        <v>8.1470726837402932E-2</v>
      </c>
    </row>
    <row r="91" spans="2:10" ht="19.8">
      <c r="B91" s="51" t="s">
        <v>137</v>
      </c>
      <c r="C91" s="51"/>
      <c r="D91" s="51"/>
      <c r="E91" s="51"/>
      <c r="F91" s="51"/>
      <c r="G91" s="51"/>
      <c r="H91" s="51"/>
      <c r="I91" s="51"/>
      <c r="J91" s="51"/>
    </row>
    <row r="92" spans="2:10" ht="19.8">
      <c r="B92" s="51"/>
      <c r="C92" s="51"/>
      <c r="D92" s="51"/>
      <c r="E92" s="51"/>
      <c r="F92" s="51"/>
      <c r="G92" s="51"/>
      <c r="H92" s="51"/>
      <c r="I92" s="51"/>
      <c r="J92" s="51"/>
    </row>
    <row r="93" spans="2:10" ht="19.8">
      <c r="B93" s="51" t="s">
        <v>97</v>
      </c>
      <c r="C93" s="51"/>
      <c r="D93" s="51"/>
      <c r="E93" s="51"/>
      <c r="F93" s="51"/>
      <c r="G93" s="51"/>
      <c r="H93" s="51"/>
      <c r="I93" s="51"/>
      <c r="J93" s="51"/>
    </row>
    <row r="94" spans="2:10" ht="19.8">
      <c r="B94" s="51"/>
      <c r="C94" s="51"/>
      <c r="D94" s="51"/>
      <c r="E94" s="51"/>
      <c r="F94" s="51"/>
      <c r="G94" s="51"/>
      <c r="H94" s="51"/>
      <c r="I94" s="51"/>
      <c r="J94" s="51"/>
    </row>
    <row r="95" spans="2:10" ht="19.8">
      <c r="B95" s="51" t="s">
        <v>104</v>
      </c>
      <c r="C95" s="51"/>
      <c r="D95" s="51"/>
      <c r="E95" s="51"/>
      <c r="F95" s="51" t="s">
        <v>136</v>
      </c>
      <c r="G95" s="51"/>
      <c r="H95" s="51"/>
      <c r="I95" s="51"/>
      <c r="J95" s="51"/>
    </row>
    <row r="96" spans="2:10" ht="19.8">
      <c r="B96" s="51"/>
      <c r="C96" s="51"/>
      <c r="D96" s="51"/>
      <c r="E96" s="51"/>
      <c r="F96" s="51"/>
      <c r="G96" s="51"/>
      <c r="H96" s="51"/>
      <c r="I96" s="51"/>
      <c r="J96" s="51"/>
    </row>
    <row r="97" spans="2:10" ht="19.8">
      <c r="B97" s="51" t="s">
        <v>105</v>
      </c>
      <c r="C97" s="51"/>
      <c r="D97" s="51"/>
      <c r="E97" s="51"/>
      <c r="F97" s="51"/>
      <c r="G97" s="51"/>
      <c r="H97" s="51"/>
      <c r="I97" s="51"/>
      <c r="J97" s="51"/>
    </row>
    <row r="98" spans="2:10" ht="19.8">
      <c r="B98" s="51"/>
      <c r="C98" s="51"/>
      <c r="D98" s="51"/>
      <c r="E98" s="51"/>
      <c r="F98" s="51"/>
      <c r="G98" s="51"/>
      <c r="H98" s="51"/>
      <c r="I98" s="51"/>
      <c r="J98" s="51"/>
    </row>
  </sheetData>
  <mergeCells count="1">
    <mergeCell ref="N1:T1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84469-FA18-436C-9782-AD3DA5F24AB5}">
  <dimension ref="B1:I64"/>
  <sheetViews>
    <sheetView workbookViewId="0">
      <selection activeCell="M12" sqref="M12"/>
    </sheetView>
  </sheetViews>
  <sheetFormatPr defaultRowHeight="14.4"/>
  <cols>
    <col min="2" max="2" width="17.44140625" style="2" customWidth="1"/>
    <col min="4" max="4" width="8.88671875" style="2"/>
    <col min="5" max="5" width="13.77734375" style="2" customWidth="1"/>
    <col min="7" max="7" width="11.44140625" customWidth="1"/>
    <col min="8" max="8" width="11.5546875" style="45" customWidth="1"/>
    <col min="9" max="9" width="16.6640625" customWidth="1"/>
  </cols>
  <sheetData>
    <row r="1" spans="2:9">
      <c r="C1" t="s">
        <v>0</v>
      </c>
      <c r="D1" s="2" t="s">
        <v>1</v>
      </c>
      <c r="E1" s="2" t="s">
        <v>2</v>
      </c>
      <c r="F1" t="s">
        <v>3</v>
      </c>
      <c r="G1" t="s">
        <v>111</v>
      </c>
    </row>
    <row r="2" spans="2:9">
      <c r="B2" s="3" t="s">
        <v>5</v>
      </c>
    </row>
    <row r="3" spans="2:9">
      <c r="B3" s="4">
        <v>43435</v>
      </c>
      <c r="C3">
        <v>173.11000100000001</v>
      </c>
      <c r="D3" s="2">
        <v>173.30999800000001</v>
      </c>
      <c r="E3" s="2">
        <v>143.46000699999999</v>
      </c>
      <c r="F3">
        <v>154.259995</v>
      </c>
      <c r="G3">
        <v>148.198196</v>
      </c>
      <c r="I3" s="52" t="s">
        <v>140</v>
      </c>
    </row>
    <row r="4" spans="2:9">
      <c r="B4" s="4">
        <v>43466</v>
      </c>
      <c r="C4">
        <v>150.990005</v>
      </c>
      <c r="D4" s="2">
        <v>168.990005</v>
      </c>
      <c r="E4" s="2">
        <v>149.490005</v>
      </c>
      <c r="F4">
        <v>168.16000399999999</v>
      </c>
      <c r="G4">
        <v>162.01416</v>
      </c>
      <c r="H4" s="27">
        <f>G4/G3-1</f>
        <v>9.3226263024146494E-2</v>
      </c>
      <c r="I4" s="57">
        <f>H4*100</f>
        <v>9.3226263024146494</v>
      </c>
    </row>
    <row r="5" spans="2:9">
      <c r="B5" s="4">
        <v>43497</v>
      </c>
      <c r="C5">
        <v>167.33000200000001</v>
      </c>
      <c r="D5" s="2">
        <v>174.66000399999999</v>
      </c>
      <c r="E5" s="2">
        <v>166.570007</v>
      </c>
      <c r="F5">
        <v>173.19000199999999</v>
      </c>
      <c r="G5">
        <v>166.860321</v>
      </c>
      <c r="H5" s="27">
        <f t="shared" ref="H5:H63" si="0">G5/G4-1</f>
        <v>2.9911959547239464E-2</v>
      </c>
      <c r="I5" s="57">
        <f t="shared" ref="I5:I63" si="1">H5*100</f>
        <v>2.9911959547239464</v>
      </c>
    </row>
    <row r="6" spans="2:9">
      <c r="B6" s="4">
        <v>43525</v>
      </c>
      <c r="C6">
        <v>174.44000199999999</v>
      </c>
      <c r="D6" s="2">
        <v>182.83000200000001</v>
      </c>
      <c r="E6" s="2">
        <v>169.33999600000001</v>
      </c>
      <c r="F6">
        <v>179.66000399999999</v>
      </c>
      <c r="G6">
        <v>173.093872</v>
      </c>
      <c r="H6" s="27">
        <f t="shared" si="0"/>
        <v>3.7357898885979068E-2</v>
      </c>
      <c r="I6" s="57">
        <f t="shared" si="1"/>
        <v>3.7357898885979068</v>
      </c>
    </row>
    <row r="7" spans="2:9">
      <c r="B7" s="4">
        <v>43556</v>
      </c>
      <c r="C7">
        <v>181.509995</v>
      </c>
      <c r="D7" s="2">
        <v>191.320007</v>
      </c>
      <c r="E7" s="2">
        <v>180.770004</v>
      </c>
      <c r="F7">
        <v>189.53999300000001</v>
      </c>
      <c r="G7">
        <v>182.94508400000001</v>
      </c>
      <c r="H7" s="27">
        <f t="shared" si="0"/>
        <v>5.6912540497100927E-2</v>
      </c>
      <c r="I7" s="57">
        <f t="shared" si="1"/>
        <v>5.6912540497100927</v>
      </c>
    </row>
    <row r="8" spans="2:9">
      <c r="B8" s="4">
        <v>43586</v>
      </c>
      <c r="C8">
        <v>190.779999</v>
      </c>
      <c r="D8" s="2">
        <v>191.320007</v>
      </c>
      <c r="E8" s="2">
        <v>173.86999499999999</v>
      </c>
      <c r="F8">
        <v>173.949997</v>
      </c>
      <c r="G8">
        <v>167.89756800000001</v>
      </c>
      <c r="H8" s="27">
        <f t="shared" si="0"/>
        <v>-8.2251546043183077E-2</v>
      </c>
      <c r="I8" s="57">
        <f t="shared" si="1"/>
        <v>-8.2251546043183072</v>
      </c>
    </row>
    <row r="9" spans="2:9">
      <c r="B9" s="4">
        <v>43617</v>
      </c>
      <c r="C9">
        <v>173.479996</v>
      </c>
      <c r="D9" s="2">
        <v>189.770004</v>
      </c>
      <c r="E9" s="2">
        <v>169.270004</v>
      </c>
      <c r="F9">
        <v>186.740005</v>
      </c>
      <c r="G9">
        <v>180.242538</v>
      </c>
      <c r="H9" s="27">
        <f t="shared" si="0"/>
        <v>7.3526794622778446E-2</v>
      </c>
      <c r="I9" s="57">
        <f t="shared" si="1"/>
        <v>7.3526794622778446</v>
      </c>
    </row>
    <row r="10" spans="2:9">
      <c r="B10" s="4">
        <v>43647</v>
      </c>
      <c r="C10">
        <v>190.320007</v>
      </c>
      <c r="D10" s="2">
        <v>195.550003</v>
      </c>
      <c r="E10" s="2">
        <v>188.38000500000001</v>
      </c>
      <c r="F10">
        <v>191.10000600000001</v>
      </c>
      <c r="G10">
        <v>184.85865799999999</v>
      </c>
      <c r="H10" s="27">
        <f t="shared" si="0"/>
        <v>2.5610602531573212E-2</v>
      </c>
      <c r="I10" s="57">
        <f t="shared" si="1"/>
        <v>2.5610602531573212</v>
      </c>
    </row>
    <row r="11" spans="2:9">
      <c r="B11" s="4">
        <v>43678</v>
      </c>
      <c r="C11">
        <v>191.429993</v>
      </c>
      <c r="D11" s="2">
        <v>194.979996</v>
      </c>
      <c r="E11" s="2">
        <v>179.199997</v>
      </c>
      <c r="F11">
        <v>187.470001</v>
      </c>
      <c r="G11">
        <v>181.34716800000001</v>
      </c>
      <c r="H11" s="27">
        <f t="shared" si="0"/>
        <v>-1.8995539824810281E-2</v>
      </c>
      <c r="I11" s="57">
        <f t="shared" si="1"/>
        <v>-1.8995539824810281</v>
      </c>
    </row>
    <row r="12" spans="2:9">
      <c r="B12" s="4">
        <v>43709</v>
      </c>
      <c r="C12">
        <v>186.220001</v>
      </c>
      <c r="D12" s="2">
        <v>194.71000699999999</v>
      </c>
      <c r="E12" s="2">
        <v>185.029999</v>
      </c>
      <c r="F12">
        <v>188.80999800000001</v>
      </c>
      <c r="G12">
        <v>182.64344800000001</v>
      </c>
      <c r="H12" s="27">
        <f t="shared" si="0"/>
        <v>7.1480575864300011E-3</v>
      </c>
      <c r="I12" s="57">
        <f t="shared" si="1"/>
        <v>0.71480575864300011</v>
      </c>
    </row>
    <row r="13" spans="2:9">
      <c r="B13" s="4">
        <v>43739</v>
      </c>
      <c r="C13">
        <v>189.5</v>
      </c>
      <c r="D13" s="2">
        <v>197.83000200000001</v>
      </c>
      <c r="E13" s="2">
        <v>181.820007</v>
      </c>
      <c r="F13">
        <v>197.08000200000001</v>
      </c>
      <c r="G13">
        <v>191.02778599999999</v>
      </c>
      <c r="H13" s="27">
        <f t="shared" si="0"/>
        <v>4.590549560803292E-2</v>
      </c>
      <c r="I13" s="57">
        <f t="shared" si="1"/>
        <v>4.590549560803292</v>
      </c>
    </row>
    <row r="14" spans="2:9">
      <c r="B14" s="4">
        <v>43770</v>
      </c>
      <c r="C14">
        <v>197.929993</v>
      </c>
      <c r="D14" s="2">
        <v>206.050003</v>
      </c>
      <c r="E14" s="2">
        <v>197.63000500000001</v>
      </c>
      <c r="F14">
        <v>205.10000600000001</v>
      </c>
      <c r="G14">
        <v>198.80149800000001</v>
      </c>
      <c r="H14" s="27">
        <f t="shared" si="0"/>
        <v>4.0694142788212151E-2</v>
      </c>
      <c r="I14" s="57">
        <f t="shared" si="1"/>
        <v>4.0694142788212151</v>
      </c>
    </row>
    <row r="15" spans="2:9">
      <c r="B15" s="4">
        <v>43800</v>
      </c>
      <c r="C15">
        <v>205.11000100000001</v>
      </c>
      <c r="D15" s="2">
        <v>214.55999800000001</v>
      </c>
      <c r="E15" s="2">
        <v>199.229996</v>
      </c>
      <c r="F15">
        <v>212.61000100000001</v>
      </c>
      <c r="G15">
        <v>206.08088699999999</v>
      </c>
      <c r="H15" s="27">
        <f t="shared" si="0"/>
        <v>3.6616368957139267E-2</v>
      </c>
      <c r="I15" s="57">
        <f t="shared" si="1"/>
        <v>3.6616368957139267</v>
      </c>
    </row>
    <row r="16" spans="2:9">
      <c r="B16" s="4">
        <v>43831</v>
      </c>
      <c r="C16">
        <v>214.39999399999999</v>
      </c>
      <c r="D16" s="2">
        <v>225.88000500000001</v>
      </c>
      <c r="E16" s="2">
        <v>212.240005</v>
      </c>
      <c r="F16">
        <v>219.070007</v>
      </c>
      <c r="G16">
        <v>212.80285599999999</v>
      </c>
      <c r="H16" s="27">
        <f t="shared" si="0"/>
        <v>3.2618109800740536E-2</v>
      </c>
      <c r="I16" s="57">
        <f t="shared" si="1"/>
        <v>3.2618109800740536</v>
      </c>
    </row>
    <row r="17" spans="2:9">
      <c r="B17" s="4">
        <v>43862</v>
      </c>
      <c r="C17">
        <v>220.13999899999999</v>
      </c>
      <c r="D17" s="2">
        <v>237.470001</v>
      </c>
      <c r="E17" s="2">
        <v>198.16999799999999</v>
      </c>
      <c r="F17">
        <v>205.800003</v>
      </c>
      <c r="G17">
        <v>199.91246000000001</v>
      </c>
      <c r="H17" s="27">
        <f t="shared" si="0"/>
        <v>-6.0574356201309576E-2</v>
      </c>
      <c r="I17" s="57">
        <f t="shared" si="1"/>
        <v>-6.057435620130958</v>
      </c>
    </row>
    <row r="18" spans="2:9">
      <c r="B18" s="4">
        <v>43891</v>
      </c>
      <c r="C18">
        <v>208.88000500000001</v>
      </c>
      <c r="D18" s="2">
        <v>219.61000100000001</v>
      </c>
      <c r="E18" s="2">
        <v>164.929993</v>
      </c>
      <c r="F18">
        <v>190.39999399999999</v>
      </c>
      <c r="G18">
        <v>184.95301799999999</v>
      </c>
      <c r="H18" s="27">
        <f t="shared" si="0"/>
        <v>-7.4829963074838024E-2</v>
      </c>
      <c r="I18" s="57">
        <f t="shared" si="1"/>
        <v>-7.482996307483802</v>
      </c>
    </row>
    <row r="19" spans="2:9">
      <c r="B19" s="4">
        <v>43922</v>
      </c>
      <c r="C19">
        <v>184.770004</v>
      </c>
      <c r="D19" s="2">
        <v>220.03999300000001</v>
      </c>
      <c r="E19" s="2">
        <v>180.86000100000001</v>
      </c>
      <c r="F19">
        <v>218.91000399999999</v>
      </c>
      <c r="G19">
        <v>213.10060100000001</v>
      </c>
      <c r="H19" s="27">
        <f t="shared" si="0"/>
        <v>0.15218774640379218</v>
      </c>
      <c r="I19" s="57">
        <f t="shared" si="1"/>
        <v>15.218774640379218</v>
      </c>
    </row>
    <row r="20" spans="2:9">
      <c r="B20" s="4">
        <v>43952</v>
      </c>
      <c r="C20">
        <v>214.5</v>
      </c>
      <c r="D20" s="2">
        <v>233.60000600000001</v>
      </c>
      <c r="E20" s="2">
        <v>211.11999499999999</v>
      </c>
      <c r="F20">
        <v>233.36000100000001</v>
      </c>
      <c r="G20">
        <v>227.16709900000001</v>
      </c>
      <c r="H20" s="27">
        <f t="shared" si="0"/>
        <v>6.6008720454054481E-2</v>
      </c>
      <c r="I20" s="57">
        <f t="shared" si="1"/>
        <v>6.6008720454054481</v>
      </c>
    </row>
    <row r="21" spans="2:9">
      <c r="B21" s="4">
        <v>43983</v>
      </c>
      <c r="C21">
        <v>232.46000699999999</v>
      </c>
      <c r="D21" s="2">
        <v>251.14999399999999</v>
      </c>
      <c r="E21" s="2">
        <v>231.470001</v>
      </c>
      <c r="F21">
        <v>247.60000600000001</v>
      </c>
      <c r="G21">
        <v>241.02922100000001</v>
      </c>
      <c r="H21" s="27">
        <f t="shared" si="0"/>
        <v>6.1021697512631423E-2</v>
      </c>
      <c r="I21" s="57">
        <f t="shared" si="1"/>
        <v>6.1021697512631423</v>
      </c>
    </row>
    <row r="22" spans="2:9">
      <c r="B22" s="4">
        <v>44013</v>
      </c>
      <c r="C22">
        <v>247.63999899999999</v>
      </c>
      <c r="D22" s="2">
        <v>269.790009</v>
      </c>
      <c r="E22" s="2">
        <v>247.08000200000001</v>
      </c>
      <c r="F22">
        <v>265.790009</v>
      </c>
      <c r="G22">
        <v>259.18637100000001</v>
      </c>
      <c r="H22" s="27">
        <f t="shared" si="0"/>
        <v>7.5331737474270799E-2</v>
      </c>
      <c r="I22" s="57">
        <f t="shared" si="1"/>
        <v>7.5331737474270799</v>
      </c>
    </row>
    <row r="23" spans="2:9">
      <c r="B23" s="4">
        <v>44044</v>
      </c>
      <c r="C23">
        <v>268</v>
      </c>
      <c r="D23" s="2">
        <v>296.75</v>
      </c>
      <c r="E23" s="2">
        <v>264.63000499999998</v>
      </c>
      <c r="F23">
        <v>294.88000499999998</v>
      </c>
      <c r="G23">
        <v>287.55367999999999</v>
      </c>
      <c r="H23" s="27">
        <f t="shared" si="0"/>
        <v>0.10944753341216384</v>
      </c>
      <c r="I23" s="57">
        <f t="shared" si="1"/>
        <v>10.944753341216384</v>
      </c>
    </row>
    <row r="24" spans="2:9">
      <c r="B24" s="4">
        <v>44075</v>
      </c>
      <c r="C24">
        <v>297.61999500000002</v>
      </c>
      <c r="D24" s="2">
        <v>303.5</v>
      </c>
      <c r="E24" s="2">
        <v>260.10998499999999</v>
      </c>
      <c r="F24">
        <v>277.83999599999999</v>
      </c>
      <c r="G24">
        <v>270.93704200000002</v>
      </c>
      <c r="H24" s="27">
        <f t="shared" si="0"/>
        <v>-5.7786212299560824E-2</v>
      </c>
      <c r="I24" s="57">
        <f t="shared" si="1"/>
        <v>-5.778621229956082</v>
      </c>
    </row>
    <row r="25" spans="2:9">
      <c r="B25" s="4">
        <v>44105</v>
      </c>
      <c r="C25">
        <v>281.790009</v>
      </c>
      <c r="D25" s="2">
        <v>297.459991</v>
      </c>
      <c r="E25" s="2">
        <v>267.07000699999998</v>
      </c>
      <c r="F25">
        <v>269.38000499999998</v>
      </c>
      <c r="G25">
        <v>262.68728599999997</v>
      </c>
      <c r="H25" s="27">
        <f t="shared" si="0"/>
        <v>-3.0448977884685258E-2</v>
      </c>
      <c r="I25" s="57">
        <f t="shared" si="1"/>
        <v>-3.0448977884685258</v>
      </c>
    </row>
    <row r="26" spans="2:9">
      <c r="B26" s="4">
        <v>44136</v>
      </c>
      <c r="C26">
        <v>271.85000600000001</v>
      </c>
      <c r="D26" s="2">
        <v>300.17001299999998</v>
      </c>
      <c r="E26" s="2">
        <v>266.97000100000002</v>
      </c>
      <c r="F26">
        <v>299.61999500000002</v>
      </c>
      <c r="G26">
        <v>292.17596400000002</v>
      </c>
      <c r="H26" s="27">
        <f t="shared" si="0"/>
        <v>0.11225772837745973</v>
      </c>
      <c r="I26" s="57">
        <f t="shared" si="1"/>
        <v>11.225772837745973</v>
      </c>
    </row>
    <row r="27" spans="2:9">
      <c r="B27" s="4">
        <v>44166</v>
      </c>
      <c r="C27">
        <v>301.97000100000002</v>
      </c>
      <c r="D27" s="2">
        <v>314.69000199999999</v>
      </c>
      <c r="E27" s="2">
        <v>298.08999599999999</v>
      </c>
      <c r="F27">
        <v>313.73998999999998</v>
      </c>
      <c r="G27">
        <v>305.94509900000003</v>
      </c>
      <c r="H27" s="27">
        <f t="shared" si="0"/>
        <v>4.7126172911335029E-2</v>
      </c>
      <c r="I27" s="57">
        <f t="shared" si="1"/>
        <v>4.7126172911335029</v>
      </c>
    </row>
    <row r="28" spans="2:9">
      <c r="B28" s="4">
        <v>44197</v>
      </c>
      <c r="C28">
        <v>315.10998499999999</v>
      </c>
      <c r="D28" s="2">
        <v>330.32000699999998</v>
      </c>
      <c r="E28" s="2">
        <v>305.17999300000002</v>
      </c>
      <c r="F28">
        <v>314.55999800000001</v>
      </c>
      <c r="G28">
        <v>307.30072000000001</v>
      </c>
      <c r="H28" s="27">
        <f t="shared" si="0"/>
        <v>4.4309289621926595E-3</v>
      </c>
      <c r="I28" s="57">
        <f t="shared" si="1"/>
        <v>0.44309289621926595</v>
      </c>
    </row>
    <row r="29" spans="2:9">
      <c r="B29" s="4">
        <v>44228</v>
      </c>
      <c r="C29">
        <v>318.10998499999999</v>
      </c>
      <c r="D29" s="2">
        <v>338.19000199999999</v>
      </c>
      <c r="E29" s="2">
        <v>310.88000499999998</v>
      </c>
      <c r="F29">
        <v>314.14001500000001</v>
      </c>
      <c r="G29">
        <v>306.89044200000001</v>
      </c>
      <c r="H29" s="27">
        <f t="shared" si="0"/>
        <v>-1.3351026317153236E-3</v>
      </c>
      <c r="I29" s="57">
        <f t="shared" si="1"/>
        <v>-0.13351026317153236</v>
      </c>
    </row>
    <row r="30" spans="2:9">
      <c r="B30" s="4">
        <v>44256</v>
      </c>
      <c r="C30">
        <v>319.26998900000001</v>
      </c>
      <c r="D30" s="2">
        <v>324.32998700000002</v>
      </c>
      <c r="E30" s="2">
        <v>297.45001200000002</v>
      </c>
      <c r="F30">
        <v>319.13000499999998</v>
      </c>
      <c r="G30">
        <v>311.76525900000001</v>
      </c>
      <c r="H30" s="27">
        <f t="shared" si="0"/>
        <v>1.588455139961642E-2</v>
      </c>
      <c r="I30" s="57">
        <f t="shared" si="1"/>
        <v>1.588455139961642</v>
      </c>
    </row>
    <row r="31" spans="2:9">
      <c r="B31" s="4">
        <v>44287</v>
      </c>
      <c r="C31">
        <v>323.07000699999998</v>
      </c>
      <c r="D31" s="2">
        <v>342.79998799999998</v>
      </c>
      <c r="E31" s="2">
        <v>322.80999800000001</v>
      </c>
      <c r="F31">
        <v>337.98998999999998</v>
      </c>
      <c r="G31">
        <v>330.60708599999998</v>
      </c>
      <c r="H31" s="27">
        <f t="shared" si="0"/>
        <v>6.0435941645441638E-2</v>
      </c>
      <c r="I31" s="57">
        <f t="shared" si="1"/>
        <v>6.0435941645441638</v>
      </c>
    </row>
    <row r="32" spans="2:9">
      <c r="B32" s="4">
        <v>44317</v>
      </c>
      <c r="C32">
        <v>339.23001099999999</v>
      </c>
      <c r="D32" s="2">
        <v>340</v>
      </c>
      <c r="E32" s="2">
        <v>316</v>
      </c>
      <c r="F32">
        <v>333.92999300000002</v>
      </c>
      <c r="G32">
        <v>326.63574199999999</v>
      </c>
      <c r="H32" s="27">
        <f t="shared" si="0"/>
        <v>-1.2012277317008269E-2</v>
      </c>
      <c r="I32" s="57">
        <f t="shared" si="1"/>
        <v>-1.2012277317008269</v>
      </c>
    </row>
    <row r="33" spans="2:9">
      <c r="B33" s="4">
        <v>44348</v>
      </c>
      <c r="C33">
        <v>335.29998799999998</v>
      </c>
      <c r="D33" s="2">
        <v>355.23001099999999</v>
      </c>
      <c r="E33" s="2">
        <v>328.27999899999998</v>
      </c>
      <c r="F33">
        <v>354.42999300000002</v>
      </c>
      <c r="G33">
        <v>346.687927</v>
      </c>
      <c r="H33" s="27">
        <f t="shared" si="0"/>
        <v>6.1390051429215609E-2</v>
      </c>
      <c r="I33" s="57">
        <f t="shared" si="1"/>
        <v>6.1390051429215609</v>
      </c>
    </row>
    <row r="34" spans="2:9">
      <c r="B34" s="4">
        <v>44378</v>
      </c>
      <c r="C34">
        <v>354.07000699999998</v>
      </c>
      <c r="D34" s="2">
        <v>368.89001500000001</v>
      </c>
      <c r="E34" s="2">
        <v>352.040009</v>
      </c>
      <c r="F34">
        <v>364.57000699999998</v>
      </c>
      <c r="G34">
        <v>357.02014200000002</v>
      </c>
      <c r="H34" s="27">
        <f t="shared" si="0"/>
        <v>2.9802638613371846E-2</v>
      </c>
      <c r="I34" s="57">
        <f t="shared" si="1"/>
        <v>2.9802638613371846</v>
      </c>
    </row>
    <row r="35" spans="2:9">
      <c r="B35" s="4">
        <v>44409</v>
      </c>
      <c r="C35">
        <v>366.27999899999998</v>
      </c>
      <c r="D35" s="2">
        <v>380.76001000000002</v>
      </c>
      <c r="E35" s="2">
        <v>359.959991</v>
      </c>
      <c r="F35">
        <v>379.95001200000002</v>
      </c>
      <c r="G35">
        <v>372.08166499999999</v>
      </c>
      <c r="H35" s="27">
        <f t="shared" si="0"/>
        <v>4.2186759871940094E-2</v>
      </c>
      <c r="I35" s="57">
        <f t="shared" si="1"/>
        <v>4.2186759871940094</v>
      </c>
    </row>
    <row r="36" spans="2:9">
      <c r="B36" s="4">
        <v>44440</v>
      </c>
      <c r="C36">
        <v>381.040009</v>
      </c>
      <c r="D36" s="2">
        <v>382.77999899999998</v>
      </c>
      <c r="E36" s="2">
        <v>357.10000600000001</v>
      </c>
      <c r="F36">
        <v>357.959991</v>
      </c>
      <c r="G36">
        <v>350.546967</v>
      </c>
      <c r="H36" s="27">
        <f t="shared" si="0"/>
        <v>-5.7876267566153716E-2</v>
      </c>
      <c r="I36" s="57">
        <f t="shared" si="1"/>
        <v>-5.7876267566153716</v>
      </c>
    </row>
    <row r="37" spans="2:9">
      <c r="B37" s="4">
        <v>44470</v>
      </c>
      <c r="C37">
        <v>358.60000600000001</v>
      </c>
      <c r="D37" s="2">
        <v>386.27999899999998</v>
      </c>
      <c r="E37" s="2">
        <v>350.32000699999998</v>
      </c>
      <c r="F37">
        <v>386.10998499999999</v>
      </c>
      <c r="G37">
        <v>378.53326399999997</v>
      </c>
      <c r="H37" s="27">
        <f t="shared" si="0"/>
        <v>7.9836083705154381E-2</v>
      </c>
      <c r="I37" s="57">
        <f t="shared" si="1"/>
        <v>7.9836083705154381</v>
      </c>
    </row>
    <row r="38" spans="2:9">
      <c r="B38" s="4">
        <v>44501</v>
      </c>
      <c r="C38">
        <v>386.55999800000001</v>
      </c>
      <c r="D38" s="2">
        <v>408.709991</v>
      </c>
      <c r="E38" s="2">
        <v>384.42001299999998</v>
      </c>
      <c r="F38">
        <v>393.82000699999998</v>
      </c>
      <c r="G38">
        <v>386.09201000000002</v>
      </c>
      <c r="H38" s="27">
        <f t="shared" si="0"/>
        <v>1.9968511935056998E-2</v>
      </c>
      <c r="I38" s="57">
        <f t="shared" si="1"/>
        <v>1.9968511935056998</v>
      </c>
    </row>
    <row r="39" spans="2:9">
      <c r="B39" s="4">
        <v>44531</v>
      </c>
      <c r="C39">
        <v>398.27999899999998</v>
      </c>
      <c r="D39" s="2">
        <v>404.57998700000002</v>
      </c>
      <c r="E39" s="2">
        <v>377.47000100000002</v>
      </c>
      <c r="F39">
        <v>397.85000600000001</v>
      </c>
      <c r="G39">
        <v>390.04290800000001</v>
      </c>
      <c r="H39" s="27">
        <f t="shared" si="0"/>
        <v>1.0233047816762708E-2</v>
      </c>
      <c r="I39" s="57">
        <f t="shared" si="1"/>
        <v>1.0233047816762708</v>
      </c>
    </row>
    <row r="40" spans="2:9">
      <c r="B40" s="4">
        <v>44562</v>
      </c>
      <c r="C40">
        <v>399.04998799999998</v>
      </c>
      <c r="D40" s="2">
        <v>402.27999899999998</v>
      </c>
      <c r="E40" s="2">
        <v>334.14999399999999</v>
      </c>
      <c r="F40">
        <v>363.04998799999998</v>
      </c>
      <c r="G40">
        <v>356.38034099999999</v>
      </c>
      <c r="H40" s="27">
        <f t="shared" si="0"/>
        <v>-8.6304779062923109E-2</v>
      </c>
      <c r="I40" s="57">
        <f t="shared" si="1"/>
        <v>-8.6304779062923114</v>
      </c>
    </row>
    <row r="41" spans="2:9">
      <c r="B41" s="4">
        <v>44593</v>
      </c>
      <c r="C41">
        <v>364.42999300000002</v>
      </c>
      <c r="D41" s="2">
        <v>370.10000600000001</v>
      </c>
      <c r="E41" s="2">
        <v>318.26001000000002</v>
      </c>
      <c r="F41">
        <v>346.79998799999998</v>
      </c>
      <c r="G41">
        <v>340.42892499999999</v>
      </c>
      <c r="H41" s="27">
        <f t="shared" si="0"/>
        <v>-4.4759528416299488E-2</v>
      </c>
      <c r="I41" s="57">
        <f t="shared" si="1"/>
        <v>-4.4759528416299492</v>
      </c>
    </row>
    <row r="42" spans="2:9">
      <c r="B42" s="4">
        <v>44621</v>
      </c>
      <c r="C42">
        <v>345.75</v>
      </c>
      <c r="D42" s="2">
        <v>371.82998700000002</v>
      </c>
      <c r="E42" s="2">
        <v>317.45001200000002</v>
      </c>
      <c r="F42">
        <v>362.540009</v>
      </c>
      <c r="G42">
        <v>355.87976099999997</v>
      </c>
      <c r="H42" s="27">
        <f t="shared" si="0"/>
        <v>4.5386378375456671E-2</v>
      </c>
      <c r="I42" s="57">
        <f t="shared" si="1"/>
        <v>4.5386378375456671</v>
      </c>
    </row>
    <row r="43" spans="2:9">
      <c r="B43" s="4">
        <v>44652</v>
      </c>
      <c r="C43">
        <v>362.80999800000001</v>
      </c>
      <c r="D43" s="2">
        <v>369.30999800000001</v>
      </c>
      <c r="E43" s="2">
        <v>312.60000600000001</v>
      </c>
      <c r="F43">
        <v>313.25</v>
      </c>
      <c r="G43">
        <v>307.87545799999998</v>
      </c>
      <c r="H43" s="27">
        <f t="shared" si="0"/>
        <v>-0.1348891065485458</v>
      </c>
      <c r="I43" s="57">
        <f t="shared" si="1"/>
        <v>-13.48891065485458</v>
      </c>
    </row>
    <row r="44" spans="2:9">
      <c r="B44" s="4">
        <v>44682</v>
      </c>
      <c r="C44">
        <v>312.82998700000002</v>
      </c>
      <c r="D44" s="2">
        <v>330.290009</v>
      </c>
      <c r="E44" s="2">
        <v>280.209991</v>
      </c>
      <c r="F44">
        <v>308.27999899999998</v>
      </c>
      <c r="G44">
        <v>302.99066199999999</v>
      </c>
      <c r="H44" s="27">
        <f t="shared" si="0"/>
        <v>-1.5866142860922694E-2</v>
      </c>
      <c r="I44" s="57">
        <f t="shared" si="1"/>
        <v>-1.5866142860922694</v>
      </c>
    </row>
    <row r="45" spans="2:9">
      <c r="B45" s="4">
        <v>44713</v>
      </c>
      <c r="C45">
        <v>310.47000100000002</v>
      </c>
      <c r="D45" s="2">
        <v>314.55999800000001</v>
      </c>
      <c r="E45" s="2">
        <v>269.27999899999998</v>
      </c>
      <c r="F45">
        <v>280.27999899999998</v>
      </c>
      <c r="G45">
        <v>275.47109999999998</v>
      </c>
      <c r="H45" s="27">
        <f t="shared" si="0"/>
        <v>-9.0826436096568597E-2</v>
      </c>
      <c r="I45" s="57">
        <f t="shared" si="1"/>
        <v>-9.0826436096568592</v>
      </c>
    </row>
    <row r="46" spans="2:9">
      <c r="B46" s="4">
        <v>44743</v>
      </c>
      <c r="C46">
        <v>278.95001200000002</v>
      </c>
      <c r="D46" s="2">
        <v>316.39001500000001</v>
      </c>
      <c r="E46" s="2">
        <v>276.75</v>
      </c>
      <c r="F46">
        <v>315.459991</v>
      </c>
      <c r="G46">
        <v>310.64352400000001</v>
      </c>
      <c r="H46" s="27">
        <f t="shared" si="0"/>
        <v>0.12768099448544712</v>
      </c>
      <c r="I46" s="57">
        <f t="shared" si="1"/>
        <v>12.768099448544712</v>
      </c>
    </row>
    <row r="47" spans="2:9">
      <c r="B47" s="4">
        <v>44774</v>
      </c>
      <c r="C47">
        <v>313.64999399999999</v>
      </c>
      <c r="D47" s="2">
        <v>334.42001299999998</v>
      </c>
      <c r="E47" s="2">
        <v>298.44000199999999</v>
      </c>
      <c r="F47">
        <v>299.26998900000001</v>
      </c>
      <c r="G47">
        <v>294.700714</v>
      </c>
      <c r="H47" s="27">
        <f t="shared" si="0"/>
        <v>-5.1321881089656962E-2</v>
      </c>
      <c r="I47" s="57">
        <f t="shared" si="1"/>
        <v>-5.1321881089656962</v>
      </c>
    </row>
    <row r="48" spans="2:9">
      <c r="B48" s="4">
        <v>44805</v>
      </c>
      <c r="C48">
        <v>296.72000100000002</v>
      </c>
      <c r="D48" s="2">
        <v>311.07998700000002</v>
      </c>
      <c r="E48" s="2">
        <v>267.10000600000001</v>
      </c>
      <c r="F48">
        <v>267.26001000000002</v>
      </c>
      <c r="G48">
        <v>263.17941300000001</v>
      </c>
      <c r="H48" s="27">
        <f t="shared" si="0"/>
        <v>-0.10696038218624737</v>
      </c>
      <c r="I48" s="57">
        <f t="shared" si="1"/>
        <v>-10.696038218624738</v>
      </c>
    </row>
    <row r="49" spans="2:9">
      <c r="B49" s="4">
        <v>44835</v>
      </c>
      <c r="C49">
        <v>269.07000699999998</v>
      </c>
      <c r="D49" s="2">
        <v>284.60000600000001</v>
      </c>
      <c r="E49" s="2">
        <v>254.259995</v>
      </c>
      <c r="F49">
        <v>277.95001200000002</v>
      </c>
      <c r="G49">
        <v>274.19808999999998</v>
      </c>
      <c r="H49" s="27">
        <f t="shared" si="0"/>
        <v>4.1867549115629288E-2</v>
      </c>
      <c r="I49" s="57">
        <f t="shared" si="1"/>
        <v>4.1867549115629288</v>
      </c>
    </row>
    <row r="50" spans="2:9">
      <c r="B50" s="4">
        <v>44866</v>
      </c>
      <c r="C50">
        <v>281.5</v>
      </c>
      <c r="D50" s="2">
        <v>293.47000100000002</v>
      </c>
      <c r="E50" s="2">
        <v>259.07998700000002</v>
      </c>
      <c r="F50">
        <v>293.35998499999999</v>
      </c>
      <c r="G50">
        <v>289.40002399999997</v>
      </c>
      <c r="H50" s="27">
        <f t="shared" si="0"/>
        <v>5.5441429223668237E-2</v>
      </c>
      <c r="I50" s="57">
        <f t="shared" si="1"/>
        <v>5.5441429223668237</v>
      </c>
    </row>
    <row r="51" spans="2:9">
      <c r="B51" s="4">
        <v>44896</v>
      </c>
      <c r="C51">
        <v>293.69000199999999</v>
      </c>
      <c r="D51" s="2">
        <v>296.88000499999998</v>
      </c>
      <c r="E51" s="2">
        <v>259.73001099999999</v>
      </c>
      <c r="F51">
        <v>266.27999899999998</v>
      </c>
      <c r="G51">
        <v>262.68557700000002</v>
      </c>
      <c r="H51" s="27">
        <f t="shared" si="0"/>
        <v>-9.2309760831256749E-2</v>
      </c>
      <c r="I51" s="57">
        <f t="shared" si="1"/>
        <v>-9.2309760831256753</v>
      </c>
    </row>
    <row r="52" spans="2:9">
      <c r="B52" s="4">
        <v>44927</v>
      </c>
      <c r="C52">
        <v>268.64999399999999</v>
      </c>
      <c r="D52" s="2">
        <v>298.26001000000002</v>
      </c>
      <c r="E52" s="2">
        <v>260.33999599999999</v>
      </c>
      <c r="F52">
        <v>294.61999500000002</v>
      </c>
      <c r="G52">
        <v>291.33883700000001</v>
      </c>
      <c r="H52" s="27">
        <f t="shared" si="0"/>
        <v>0.1090781622928616</v>
      </c>
      <c r="I52" s="57">
        <f t="shared" si="1"/>
        <v>10.90781622928616</v>
      </c>
    </row>
    <row r="53" spans="2:9">
      <c r="B53" s="4">
        <v>44958</v>
      </c>
      <c r="C53">
        <v>294.41000400000001</v>
      </c>
      <c r="D53" s="2">
        <v>313.67999300000002</v>
      </c>
      <c r="E53" s="2">
        <v>290.04998799999998</v>
      </c>
      <c r="F53">
        <v>293.55999800000001</v>
      </c>
      <c r="G53">
        <v>290.29068000000001</v>
      </c>
      <c r="H53" s="27">
        <f t="shared" si="0"/>
        <v>-3.5977249404617329E-3</v>
      </c>
      <c r="I53" s="57">
        <f t="shared" si="1"/>
        <v>-0.35977249404617329</v>
      </c>
    </row>
    <row r="54" spans="2:9">
      <c r="B54" s="4">
        <v>44986</v>
      </c>
      <c r="C54">
        <v>293.26001000000002</v>
      </c>
      <c r="D54" s="2">
        <v>321.17001299999998</v>
      </c>
      <c r="E54" s="2">
        <v>285.19000199999999</v>
      </c>
      <c r="F54">
        <v>320.92999300000002</v>
      </c>
      <c r="G54">
        <v>317.35586499999999</v>
      </c>
      <c r="H54" s="27">
        <f t="shared" si="0"/>
        <v>9.3234770747720797E-2</v>
      </c>
      <c r="I54" s="57">
        <f t="shared" si="1"/>
        <v>9.3234770747720788</v>
      </c>
    </row>
    <row r="55" spans="2:9">
      <c r="B55" s="4">
        <v>45017</v>
      </c>
      <c r="C55">
        <v>318.76998900000001</v>
      </c>
      <c r="D55" s="2">
        <v>322.64999399999999</v>
      </c>
      <c r="E55" s="2">
        <v>309.89001500000001</v>
      </c>
      <c r="F55">
        <v>322.55999800000001</v>
      </c>
      <c r="G55">
        <v>319.46151700000001</v>
      </c>
      <c r="H55" s="27">
        <f t="shared" si="0"/>
        <v>6.6349868782165089E-3</v>
      </c>
      <c r="I55" s="57">
        <f t="shared" si="1"/>
        <v>0.66349868782165089</v>
      </c>
    </row>
    <row r="56" spans="2:9">
      <c r="B56" s="4">
        <v>45047</v>
      </c>
      <c r="C56">
        <v>322.08999599999999</v>
      </c>
      <c r="D56" s="2">
        <v>353.92999300000002</v>
      </c>
      <c r="E56" s="2">
        <v>315.11999500000002</v>
      </c>
      <c r="F56">
        <v>347.98998999999998</v>
      </c>
      <c r="G56">
        <v>344.64721700000001</v>
      </c>
      <c r="H56" s="27">
        <f t="shared" si="0"/>
        <v>7.8837977846326845E-2</v>
      </c>
      <c r="I56" s="57">
        <f t="shared" si="1"/>
        <v>7.8837977846326845</v>
      </c>
    </row>
    <row r="57" spans="2:9">
      <c r="B57" s="4">
        <v>45078</v>
      </c>
      <c r="C57">
        <v>347.73001099999999</v>
      </c>
      <c r="D57" s="2">
        <v>372.85000600000001</v>
      </c>
      <c r="E57" s="2">
        <v>346.66000400000001</v>
      </c>
      <c r="F57">
        <v>369.42001299999998</v>
      </c>
      <c r="G57">
        <v>365.871399</v>
      </c>
      <c r="H57" s="27">
        <f t="shared" si="0"/>
        <v>6.1582339717543677E-2</v>
      </c>
      <c r="I57" s="57">
        <f t="shared" si="1"/>
        <v>6.1582339717543677</v>
      </c>
    </row>
    <row r="58" spans="2:9">
      <c r="B58" s="4">
        <v>45108</v>
      </c>
      <c r="C58">
        <v>370.07000699999998</v>
      </c>
      <c r="D58" s="2">
        <v>387.98001099999999</v>
      </c>
      <c r="E58" s="2">
        <v>363.41000400000001</v>
      </c>
      <c r="F58">
        <v>383.67999300000002</v>
      </c>
      <c r="G58">
        <v>380.515625</v>
      </c>
      <c r="H58" s="27">
        <f t="shared" si="0"/>
        <v>4.0025610200812745E-2</v>
      </c>
      <c r="I58" s="57">
        <f t="shared" si="1"/>
        <v>4.0025610200812745</v>
      </c>
    </row>
    <row r="59" spans="2:9">
      <c r="B59" s="4">
        <v>45139</v>
      </c>
      <c r="C59">
        <v>382.30999800000001</v>
      </c>
      <c r="D59" s="2">
        <v>383.55999800000001</v>
      </c>
      <c r="E59" s="2">
        <v>354.709991</v>
      </c>
      <c r="F59">
        <v>377.98998999999998</v>
      </c>
      <c r="G59">
        <v>374.87255900000002</v>
      </c>
      <c r="H59" s="27">
        <f t="shared" si="0"/>
        <v>-1.4830050671375106E-2</v>
      </c>
      <c r="I59" s="57">
        <f t="shared" si="1"/>
        <v>-1.4830050671375106</v>
      </c>
    </row>
    <row r="60" spans="2:9">
      <c r="B60" s="4">
        <v>45170</v>
      </c>
      <c r="C60">
        <v>380.39999399999999</v>
      </c>
      <c r="D60" s="2">
        <v>380.82998700000002</v>
      </c>
      <c r="E60" s="2">
        <v>351.35998499999999</v>
      </c>
      <c r="F60">
        <v>358.26998900000001</v>
      </c>
      <c r="G60">
        <v>355.315155</v>
      </c>
      <c r="H60" s="27">
        <f t="shared" si="0"/>
        <v>-5.2170807199574232E-2</v>
      </c>
      <c r="I60" s="57">
        <f t="shared" si="1"/>
        <v>-5.2170807199574227</v>
      </c>
    </row>
    <row r="61" spans="2:9">
      <c r="B61" s="4">
        <v>45200</v>
      </c>
      <c r="C61">
        <v>358.540009</v>
      </c>
      <c r="D61" s="2">
        <v>373.73998999999998</v>
      </c>
      <c r="E61" s="2">
        <v>342.35000600000001</v>
      </c>
      <c r="F61">
        <v>350.86999500000002</v>
      </c>
      <c r="G61">
        <v>348.479919</v>
      </c>
      <c r="H61" s="27">
        <f t="shared" si="0"/>
        <v>-1.9237107969684031E-2</v>
      </c>
      <c r="I61" s="57">
        <f t="shared" si="1"/>
        <v>-1.9237107969684031</v>
      </c>
    </row>
    <row r="62" spans="2:9">
      <c r="B62" s="4">
        <v>45231</v>
      </c>
      <c r="C62">
        <v>351.72000100000002</v>
      </c>
      <c r="D62" s="2">
        <v>394.14001500000001</v>
      </c>
      <c r="E62" s="2">
        <v>351.61999500000002</v>
      </c>
      <c r="F62">
        <v>388.82998700000002</v>
      </c>
      <c r="G62">
        <v>386.18136600000003</v>
      </c>
      <c r="H62" s="27">
        <f t="shared" si="0"/>
        <v>0.10818829133164498</v>
      </c>
      <c r="I62" s="57">
        <f t="shared" si="1"/>
        <v>10.818829133164499</v>
      </c>
    </row>
    <row r="63" spans="2:9">
      <c r="B63" s="4">
        <v>45261</v>
      </c>
      <c r="C63">
        <v>387.75</v>
      </c>
      <c r="D63" s="2">
        <v>412.92001299999998</v>
      </c>
      <c r="E63" s="2">
        <v>382.66000400000001</v>
      </c>
      <c r="F63">
        <v>409.51998900000001</v>
      </c>
      <c r="G63">
        <v>406.73040800000001</v>
      </c>
      <c r="H63" s="27">
        <f t="shared" si="0"/>
        <v>5.3210858444164177E-2</v>
      </c>
      <c r="I63" s="57">
        <f t="shared" si="1"/>
        <v>5.3210858444164177</v>
      </c>
    </row>
    <row r="64" spans="2:9">
      <c r="B64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A07F-3074-4117-9F6E-C335EF13A54F}">
  <dimension ref="B3:O67"/>
  <sheetViews>
    <sheetView zoomScale="60" zoomScaleNormal="60" workbookViewId="0">
      <selection activeCell="AE31" sqref="AE31"/>
    </sheetView>
  </sheetViews>
  <sheetFormatPr defaultRowHeight="14.4"/>
  <cols>
    <col min="3" max="3" width="18" style="2" customWidth="1"/>
    <col min="4" max="4" width="11.44140625" style="1" customWidth="1"/>
    <col min="5" max="5" width="12.21875" customWidth="1"/>
    <col min="6" max="6" width="12.33203125" style="2" customWidth="1"/>
    <col min="7" max="7" width="11.77734375" style="2" customWidth="1"/>
    <col min="8" max="8" width="11.5546875" customWidth="1"/>
    <col min="9" max="9" width="12.88671875" customWidth="1"/>
    <col min="10" max="10" width="11.44140625" customWidth="1"/>
  </cols>
  <sheetData>
    <row r="3" spans="2:15">
      <c r="N3" t="s">
        <v>106</v>
      </c>
      <c r="O3" s="17">
        <f>SLOPE(F6:F65,E6:E65)</f>
        <v>0.79149544079312462</v>
      </c>
    </row>
    <row r="4" spans="2:15" ht="57.6">
      <c r="B4" s="43" t="s">
        <v>5</v>
      </c>
      <c r="C4" s="43" t="s">
        <v>95</v>
      </c>
      <c r="D4" s="48" t="s">
        <v>112</v>
      </c>
      <c r="E4" s="42" t="s">
        <v>113</v>
      </c>
      <c r="F4" s="42" t="s">
        <v>96</v>
      </c>
      <c r="G4" s="42" t="s">
        <v>124</v>
      </c>
      <c r="H4" s="42" t="s">
        <v>107</v>
      </c>
      <c r="I4" s="42" t="s">
        <v>94</v>
      </c>
      <c r="J4" s="42" t="s">
        <v>108</v>
      </c>
    </row>
    <row r="5" spans="2:15">
      <c r="B5" s="43"/>
      <c r="C5" s="43"/>
      <c r="D5" s="48"/>
      <c r="E5" s="42"/>
      <c r="F5" s="42"/>
      <c r="G5" s="42"/>
      <c r="H5" s="42"/>
      <c r="I5" s="42">
        <v>1</v>
      </c>
      <c r="J5" s="42">
        <v>1</v>
      </c>
    </row>
    <row r="6" spans="2:15">
      <c r="B6">
        <v>201901</v>
      </c>
      <c r="C6" s="2">
        <f>'CAPM Regression'!P4</f>
        <v>0.21</v>
      </c>
      <c r="D6" s="1">
        <f>'ETF QQQ'!I4</f>
        <v>9.3226263024146494</v>
      </c>
      <c r="E6" s="1">
        <f t="shared" ref="E6:E37" si="0">D6-C6</f>
        <v>9.1126263024146485</v>
      </c>
      <c r="F6" s="1">
        <f>'SMB+HML'!V3</f>
        <v>13.441237762208567</v>
      </c>
      <c r="G6" s="1">
        <f t="shared" ref="G6:G37" si="1">C6+F6</f>
        <v>13.651237762208568</v>
      </c>
      <c r="H6" s="27">
        <f>(1-$O$3)*C6+$O$3*D6</f>
        <v>7.4226021720127049</v>
      </c>
      <c r="I6" s="46">
        <f>I5*(1+H6/100)</f>
        <v>1.0742260217201269</v>
      </c>
      <c r="J6">
        <f>J5*(1+G6/100)</f>
        <v>1.1365123776220858</v>
      </c>
    </row>
    <row r="7" spans="2:15">
      <c r="B7">
        <v>201902</v>
      </c>
      <c r="C7" s="2">
        <f>'CAPM Regression'!P5</f>
        <v>0.18</v>
      </c>
      <c r="D7" s="1">
        <f>'ETF QQQ'!I5</f>
        <v>2.9911959547239464</v>
      </c>
      <c r="E7" s="1">
        <f t="shared" si="0"/>
        <v>2.8111959547239462</v>
      </c>
      <c r="F7" s="1">
        <f>'SMB+HML'!V4</f>
        <v>2.2162380814648803</v>
      </c>
      <c r="G7" s="1">
        <f t="shared" si="1"/>
        <v>2.3962380814648805</v>
      </c>
      <c r="H7" s="27">
        <f t="shared" ref="H7:H65" si="2">(1-$O$3)*C7+$O$3*D7</f>
        <v>2.4050487813400787</v>
      </c>
      <c r="I7" s="46">
        <f t="shared" ref="I7:I65" si="3">I6*(1+H7/100)</f>
        <v>1.1000616815643447</v>
      </c>
      <c r="J7">
        <f t="shared" ref="J7:J65" si="4">J6*(1+G7/100)</f>
        <v>1.163745920015228</v>
      </c>
    </row>
    <row r="8" spans="2:15">
      <c r="B8">
        <v>201903</v>
      </c>
      <c r="C8" s="2">
        <f>'CAPM Regression'!P6</f>
        <v>0.19</v>
      </c>
      <c r="D8" s="1">
        <f>'ETF QQQ'!I6</f>
        <v>3.7357898885979068</v>
      </c>
      <c r="E8" s="1">
        <f t="shared" si="0"/>
        <v>3.5457898885979069</v>
      </c>
      <c r="F8" s="1">
        <f>'SMB+HML'!V5</f>
        <v>0.95990960455800844</v>
      </c>
      <c r="G8" s="1">
        <f t="shared" si="1"/>
        <v>1.1499096045580084</v>
      </c>
      <c r="H8" s="27">
        <f t="shared" si="2"/>
        <v>2.9964765308356047</v>
      </c>
      <c r="I8" s="46">
        <f t="shared" si="3"/>
        <v>1.1330247716771358</v>
      </c>
      <c r="J8">
        <f t="shared" si="4"/>
        <v>1.1771279461221351</v>
      </c>
    </row>
    <row r="9" spans="2:15">
      <c r="B9">
        <v>201904</v>
      </c>
      <c r="C9" s="2">
        <f>'CAPM Regression'!P7</f>
        <v>0.21</v>
      </c>
      <c r="D9" s="1">
        <f>'ETF QQQ'!I7</f>
        <v>5.6912540497100927</v>
      </c>
      <c r="E9" s="1">
        <f t="shared" si="0"/>
        <v>5.4812540497100928</v>
      </c>
      <c r="F9" s="1">
        <f>'SMB+HML'!V6</f>
        <v>3.7062079304550806</v>
      </c>
      <c r="G9" s="1">
        <f t="shared" si="1"/>
        <v>3.9162079304550805</v>
      </c>
      <c r="H9" s="27">
        <f t="shared" si="2"/>
        <v>4.5483875901743893</v>
      </c>
      <c r="I9" s="46">
        <f t="shared" si="3"/>
        <v>1.1845591297857003</v>
      </c>
      <c r="J9">
        <f t="shared" si="4"/>
        <v>1.2232267240997732</v>
      </c>
    </row>
    <row r="10" spans="2:15">
      <c r="B10">
        <v>201905</v>
      </c>
      <c r="C10" s="2">
        <f>'CAPM Regression'!P8</f>
        <v>0.21</v>
      </c>
      <c r="D10" s="1">
        <f>'ETF QQQ'!I8</f>
        <v>-8.2251546043183072</v>
      </c>
      <c r="E10" s="1">
        <f t="shared" si="0"/>
        <v>-8.4351546043183081</v>
      </c>
      <c r="F10" s="1">
        <f>'SMB+HML'!V7</f>
        <v>-5.9288909738108195</v>
      </c>
      <c r="G10" s="1">
        <f t="shared" si="1"/>
        <v>-5.7188909738108196</v>
      </c>
      <c r="H10" s="27">
        <f t="shared" si="2"/>
        <v>-6.4663864117030725</v>
      </c>
      <c r="I10" s="46">
        <f t="shared" si="3"/>
        <v>1.1079609591786497</v>
      </c>
      <c r="J10">
        <f t="shared" si="4"/>
        <v>1.1532717213859895</v>
      </c>
    </row>
    <row r="11" spans="2:15">
      <c r="B11">
        <v>201906</v>
      </c>
      <c r="C11" s="2">
        <f>'CAPM Regression'!P9</f>
        <v>0.18</v>
      </c>
      <c r="D11" s="1">
        <f>'ETF QQQ'!I9</f>
        <v>7.3526794622778446</v>
      </c>
      <c r="E11" s="1">
        <f t="shared" si="0"/>
        <v>7.1726794622778449</v>
      </c>
      <c r="F11" s="1">
        <f>'SMB+HML'!V8</f>
        <v>7.4631186298451357</v>
      </c>
      <c r="G11" s="1">
        <f t="shared" si="1"/>
        <v>7.6431186298451355</v>
      </c>
      <c r="H11" s="27">
        <f t="shared" si="2"/>
        <v>5.8571430926633949</v>
      </c>
      <c r="I11" s="46">
        <f t="shared" si="3"/>
        <v>1.1728558179685888</v>
      </c>
      <c r="J11">
        <f t="shared" si="4"/>
        <v>1.2414176471759777</v>
      </c>
    </row>
    <row r="12" spans="2:15">
      <c r="B12">
        <v>201907</v>
      </c>
      <c r="C12" s="2">
        <f>'CAPM Regression'!P10</f>
        <v>0.19</v>
      </c>
      <c r="D12" s="1">
        <f>'ETF QQQ'!I10</f>
        <v>2.5610602531573212</v>
      </c>
      <c r="E12" s="1">
        <f t="shared" si="0"/>
        <v>2.3710602531573213</v>
      </c>
      <c r="F12" s="1">
        <f>'SMB+HML'!V9</f>
        <v>-3.678053515375634</v>
      </c>
      <c r="G12" s="1">
        <f t="shared" si="1"/>
        <v>-3.488053515375634</v>
      </c>
      <c r="H12" s="27">
        <f t="shared" si="2"/>
        <v>2.0666833802198119</v>
      </c>
      <c r="I12" s="46">
        <f t="shared" si="3"/>
        <v>1.1970950342324866</v>
      </c>
      <c r="J12">
        <f t="shared" si="4"/>
        <v>1.1981163352931625</v>
      </c>
    </row>
    <row r="13" spans="2:15">
      <c r="B13">
        <v>201908</v>
      </c>
      <c r="C13" s="2">
        <f>'CAPM Regression'!P11</f>
        <v>0.16</v>
      </c>
      <c r="D13" s="1">
        <f>'ETF QQQ'!I11</f>
        <v>-1.8995539824810281</v>
      </c>
      <c r="E13" s="1">
        <f t="shared" si="0"/>
        <v>-2.0595539824810283</v>
      </c>
      <c r="F13" s="1">
        <f>'SMB+HML'!V10</f>
        <v>-2.5249947856241608</v>
      </c>
      <c r="G13" s="1">
        <f t="shared" si="1"/>
        <v>-2.3649947856241607</v>
      </c>
      <c r="H13" s="27">
        <f t="shared" si="2"/>
        <v>-1.4701275872010566</v>
      </c>
      <c r="I13" s="46">
        <f t="shared" si="3"/>
        <v>1.179496209889221</v>
      </c>
      <c r="J13">
        <f t="shared" si="4"/>
        <v>1.169780946437768</v>
      </c>
    </row>
    <row r="14" spans="2:15">
      <c r="B14">
        <v>201909</v>
      </c>
      <c r="C14" s="2">
        <f>'CAPM Regression'!P12</f>
        <v>0.18</v>
      </c>
      <c r="D14" s="1">
        <f>'ETF QQQ'!I12</f>
        <v>0.71480575864300011</v>
      </c>
      <c r="E14" s="1">
        <f t="shared" si="0"/>
        <v>0.53480575864300017</v>
      </c>
      <c r="F14" s="1">
        <f>'SMB+HML'!V11</f>
        <v>-1.1618514682237313</v>
      </c>
      <c r="G14" s="1">
        <f t="shared" si="1"/>
        <v>-0.98185146822373137</v>
      </c>
      <c r="H14" s="27">
        <f t="shared" si="2"/>
        <v>0.60329631967584274</v>
      </c>
      <c r="I14" s="46">
        <f t="shared" si="3"/>
        <v>1.1866120671141986</v>
      </c>
      <c r="J14">
        <f t="shared" si="4"/>
        <v>1.1582954350401673</v>
      </c>
    </row>
    <row r="15" spans="2:15">
      <c r="B15">
        <v>201910</v>
      </c>
      <c r="C15" s="2">
        <f>'CAPM Regression'!P13</f>
        <v>0.16</v>
      </c>
      <c r="D15" s="1">
        <f>'ETF QQQ'!I13</f>
        <v>4.590549560803292</v>
      </c>
      <c r="E15" s="1">
        <f t="shared" si="0"/>
        <v>4.4305495608032919</v>
      </c>
      <c r="F15" s="1">
        <f>'SMB+HML'!V12</f>
        <v>3.1778298647236189</v>
      </c>
      <c r="G15" s="1">
        <f t="shared" si="1"/>
        <v>3.3378298647236191</v>
      </c>
      <c r="H15" s="27">
        <f t="shared" si="2"/>
        <v>3.6667597775837866</v>
      </c>
      <c r="I15" s="46">
        <f t="shared" si="3"/>
        <v>1.2301222811070978</v>
      </c>
      <c r="J15">
        <f t="shared" si="4"/>
        <v>1.1969573659926684</v>
      </c>
    </row>
    <row r="16" spans="2:15">
      <c r="B16">
        <v>201911</v>
      </c>
      <c r="C16" s="2">
        <f>'CAPM Regression'!P14</f>
        <v>0.12</v>
      </c>
      <c r="D16" s="1">
        <f>'ETF QQQ'!I14</f>
        <v>4.0694142788212151</v>
      </c>
      <c r="E16" s="1">
        <f t="shared" si="0"/>
        <v>3.949414278821215</v>
      </c>
      <c r="F16" s="1">
        <f>'SMB+HML'!V13</f>
        <v>4.4583490306553752</v>
      </c>
      <c r="G16" s="1">
        <f t="shared" si="1"/>
        <v>4.5783490306553754</v>
      </c>
      <c r="H16" s="27">
        <f t="shared" si="2"/>
        <v>3.2459433954902579</v>
      </c>
      <c r="I16" s="46">
        <f t="shared" si="3"/>
        <v>1.2700513540471476</v>
      </c>
      <c r="J16">
        <f t="shared" si="4"/>
        <v>1.2517582519559518</v>
      </c>
    </row>
    <row r="17" spans="2:10">
      <c r="B17">
        <v>201912</v>
      </c>
      <c r="C17" s="2">
        <f>'CAPM Regression'!P15</f>
        <v>0.14000000000000001</v>
      </c>
      <c r="D17" s="1">
        <f>'ETF QQQ'!I15</f>
        <v>3.6616368957139267</v>
      </c>
      <c r="E17" s="1">
        <f t="shared" si="0"/>
        <v>3.5216368957139266</v>
      </c>
      <c r="F17" s="1">
        <f>'SMB+HML'!V14</f>
        <v>4.9328143727073579</v>
      </c>
      <c r="G17" s="1">
        <f t="shared" si="1"/>
        <v>5.0728143727073576</v>
      </c>
      <c r="H17" s="27">
        <f t="shared" si="2"/>
        <v>2.9273595470864251</v>
      </c>
      <c r="I17" s="46">
        <f t="shared" si="3"/>
        <v>1.3072303236127472</v>
      </c>
      <c r="J17">
        <f t="shared" si="4"/>
        <v>1.3152576244727239</v>
      </c>
    </row>
    <row r="18" spans="2:10">
      <c r="B18">
        <v>202001</v>
      </c>
      <c r="C18" s="2">
        <f>'CAPM Regression'!P16</f>
        <v>0.13</v>
      </c>
      <c r="D18" s="1">
        <f>'ETF QQQ'!I16</f>
        <v>3.2618109800740536</v>
      </c>
      <c r="E18" s="1">
        <f t="shared" si="0"/>
        <v>3.1318109800740537</v>
      </c>
      <c r="F18" s="1">
        <f>'SMB+HML'!V15</f>
        <v>-2.1217554884987231</v>
      </c>
      <c r="G18" s="1">
        <f t="shared" si="1"/>
        <v>-1.9917554884987232</v>
      </c>
      <c r="H18" s="27">
        <f t="shared" si="2"/>
        <v>2.6088141121544606</v>
      </c>
      <c r="I18" s="46">
        <f t="shared" si="3"/>
        <v>1.341333532773519</v>
      </c>
      <c r="J18">
        <f t="shared" si="4"/>
        <v>1.2890609085493905</v>
      </c>
    </row>
    <row r="19" spans="2:10">
      <c r="B19">
        <v>202002</v>
      </c>
      <c r="C19" s="2">
        <f>'CAPM Regression'!P17</f>
        <v>0.12</v>
      </c>
      <c r="D19" s="1">
        <f>'ETF QQQ'!I17</f>
        <v>-6.057435620130958</v>
      </c>
      <c r="E19" s="1">
        <f t="shared" si="0"/>
        <v>-6.1774356201309581</v>
      </c>
      <c r="F19" s="1">
        <f>'SMB+HML'!V16</f>
        <v>-6.9373625301910042</v>
      </c>
      <c r="G19" s="1">
        <f t="shared" si="1"/>
        <v>-6.8173625301910041</v>
      </c>
      <c r="H19" s="27">
        <f t="shared" si="2"/>
        <v>-4.7694121291267013</v>
      </c>
      <c r="I19" s="46">
        <f t="shared" si="3"/>
        <v>1.2773598085693751</v>
      </c>
      <c r="J19">
        <f t="shared" si="4"/>
        <v>1.2011809531786046</v>
      </c>
    </row>
    <row r="20" spans="2:10">
      <c r="B20">
        <v>202003</v>
      </c>
      <c r="C20" s="2">
        <f>'CAPM Regression'!P18</f>
        <v>0.13</v>
      </c>
      <c r="D20" s="1">
        <f>'ETF QQQ'!I18</f>
        <v>-7.482996307483802</v>
      </c>
      <c r="E20" s="1">
        <f t="shared" si="0"/>
        <v>-7.6129963074838018</v>
      </c>
      <c r="F20" s="1">
        <f>'SMB+HML'!V17</f>
        <v>-8.905602302936126</v>
      </c>
      <c r="G20" s="1">
        <f t="shared" si="1"/>
        <v>-8.7756023029361252</v>
      </c>
      <c r="H20" s="27">
        <f t="shared" si="2"/>
        <v>-5.8956518681483221</v>
      </c>
      <c r="I20" s="46">
        <f t="shared" si="3"/>
        <v>1.2020511211524789</v>
      </c>
      <c r="J20">
        <f t="shared" si="4"/>
        <v>1.095770089789033</v>
      </c>
    </row>
    <row r="21" spans="2:10">
      <c r="B21">
        <v>202004</v>
      </c>
      <c r="C21" s="2">
        <f>'CAPM Regression'!P19</f>
        <v>0</v>
      </c>
      <c r="D21" s="1">
        <f>'ETF QQQ'!I19</f>
        <v>15.218774640379218</v>
      </c>
      <c r="E21" s="1">
        <f t="shared" si="0"/>
        <v>15.218774640379218</v>
      </c>
      <c r="F21" s="1">
        <f>'SMB+HML'!V18</f>
        <v>11.792643573454184</v>
      </c>
      <c r="G21" s="1">
        <f t="shared" si="1"/>
        <v>11.792643573454184</v>
      </c>
      <c r="H21" s="27">
        <f t="shared" si="2"/>
        <v>12.045590742318176</v>
      </c>
      <c r="I21" s="46">
        <f t="shared" si="3"/>
        <v>1.3468452797199537</v>
      </c>
      <c r="J21">
        <f t="shared" si="4"/>
        <v>1.2249903508623725</v>
      </c>
    </row>
    <row r="22" spans="2:10">
      <c r="B22">
        <v>202005</v>
      </c>
      <c r="C22" s="2">
        <f>'CAPM Regression'!P20</f>
        <v>0.01</v>
      </c>
      <c r="D22" s="1">
        <f>'ETF QQQ'!I20</f>
        <v>6.6008720454054481</v>
      </c>
      <c r="E22" s="1">
        <f t="shared" si="0"/>
        <v>6.5908720454054484</v>
      </c>
      <c r="F22" s="1">
        <f>'SMB+HML'!V19</f>
        <v>2.7455626597729306</v>
      </c>
      <c r="G22" s="1">
        <f t="shared" si="1"/>
        <v>2.7555626597729304</v>
      </c>
      <c r="H22" s="27">
        <f t="shared" si="2"/>
        <v>5.2266451747892679</v>
      </c>
      <c r="I22" s="46">
        <f t="shared" si="3"/>
        <v>1.4172401035443136</v>
      </c>
      <c r="J22">
        <f t="shared" si="4"/>
        <v>1.2587457275565574</v>
      </c>
    </row>
    <row r="23" spans="2:10">
      <c r="B23">
        <v>202006</v>
      </c>
      <c r="C23" s="2">
        <f>'CAPM Regression'!P21</f>
        <v>0.01</v>
      </c>
      <c r="D23" s="1">
        <f>'ETF QQQ'!I21</f>
        <v>6.1021697512631423</v>
      </c>
      <c r="E23" s="1">
        <f t="shared" si="0"/>
        <v>6.0921697512631425</v>
      </c>
      <c r="F23" s="1">
        <f>'SMB+HML'!V20</f>
        <v>2.5658904504643809</v>
      </c>
      <c r="G23" s="1">
        <f t="shared" si="1"/>
        <v>2.5758904504643807</v>
      </c>
      <c r="H23" s="27">
        <f t="shared" si="2"/>
        <v>4.8319245826625616</v>
      </c>
      <c r="I23" s="46">
        <f t="shared" si="3"/>
        <v>1.4857200765028238</v>
      </c>
      <c r="J23">
        <f t="shared" si="4"/>
        <v>1.2911696385483151</v>
      </c>
    </row>
    <row r="24" spans="2:10">
      <c r="B24">
        <v>202007</v>
      </c>
      <c r="C24" s="2">
        <f>'CAPM Regression'!P22</f>
        <v>0.01</v>
      </c>
      <c r="D24" s="1">
        <f>'ETF QQQ'!I22</f>
        <v>7.5331737474270799</v>
      </c>
      <c r="E24" s="1">
        <f t="shared" si="0"/>
        <v>7.5231737474270801</v>
      </c>
      <c r="F24" s="1">
        <f>'SMB+HML'!V21</f>
        <v>8.2343627718662802</v>
      </c>
      <c r="G24" s="1">
        <f t="shared" si="1"/>
        <v>8.24436277186628</v>
      </c>
      <c r="H24" s="27">
        <f t="shared" si="2"/>
        <v>5.9645577213830601</v>
      </c>
      <c r="I24" s="46">
        <f t="shared" si="3"/>
        <v>1.5743367080440114</v>
      </c>
      <c r="J24">
        <f t="shared" si="4"/>
        <v>1.3976183475504329</v>
      </c>
    </row>
    <row r="25" spans="2:10">
      <c r="B25">
        <v>202008</v>
      </c>
      <c r="C25" s="2">
        <f>'CAPM Regression'!P23</f>
        <v>0.01</v>
      </c>
      <c r="D25" s="1">
        <f>'ETF QQQ'!I23</f>
        <v>10.944753341216384</v>
      </c>
      <c r="E25" s="1">
        <f t="shared" si="0"/>
        <v>10.934753341216384</v>
      </c>
      <c r="F25" s="1">
        <f>'SMB+HML'!V22</f>
        <v>8.2536874895278807</v>
      </c>
      <c r="G25" s="1">
        <f t="shared" si="1"/>
        <v>8.2636874895278805</v>
      </c>
      <c r="H25" s="27">
        <f t="shared" si="2"/>
        <v>8.6648074157701522</v>
      </c>
      <c r="I25" s="46">
        <f t="shared" si="3"/>
        <v>1.7107499518718008</v>
      </c>
      <c r="J25">
        <f t="shared" si="4"/>
        <v>1.5131131600883043</v>
      </c>
    </row>
    <row r="26" spans="2:10">
      <c r="B26">
        <v>202009</v>
      </c>
      <c r="C26" s="2">
        <f>'CAPM Regression'!P24</f>
        <v>0.01</v>
      </c>
      <c r="D26" s="1">
        <f>'ETF QQQ'!I24</f>
        <v>-5.778621229956082</v>
      </c>
      <c r="E26" s="1">
        <f t="shared" si="0"/>
        <v>-5.7886212299560817</v>
      </c>
      <c r="F26" s="1">
        <f>'SMB+HML'!V23</f>
        <v>-7.9625990672340654</v>
      </c>
      <c r="G26" s="1">
        <f t="shared" si="1"/>
        <v>-7.9525990672340656</v>
      </c>
      <c r="H26" s="27">
        <f t="shared" si="2"/>
        <v>-4.571667311988528</v>
      </c>
      <c r="I26" s="46">
        <f t="shared" si="3"/>
        <v>1.6325401555322183</v>
      </c>
      <c r="J26">
        <f t="shared" si="4"/>
        <v>1.3927813370329258</v>
      </c>
    </row>
    <row r="27" spans="2:10">
      <c r="B27">
        <v>202010</v>
      </c>
      <c r="C27" s="2">
        <f>'CAPM Regression'!P25</f>
        <v>0.01</v>
      </c>
      <c r="D27" s="1">
        <f>'ETF QQQ'!I25</f>
        <v>-3.0448977884685258</v>
      </c>
      <c r="E27" s="1">
        <f t="shared" si="0"/>
        <v>-3.0548977884685256</v>
      </c>
      <c r="F27" s="1">
        <f>'SMB+HML'!V24</f>
        <v>0.6793005796575271</v>
      </c>
      <c r="G27" s="1">
        <f t="shared" si="1"/>
        <v>0.68930057965752711</v>
      </c>
      <c r="H27" s="27">
        <f t="shared" si="2"/>
        <v>-2.4079376716618373</v>
      </c>
      <c r="I27" s="46">
        <f t="shared" si="3"/>
        <v>1.5932296061221511</v>
      </c>
      <c r="J27">
        <f t="shared" si="4"/>
        <v>1.4023817868624557</v>
      </c>
    </row>
    <row r="28" spans="2:10">
      <c r="B28">
        <v>202011</v>
      </c>
      <c r="C28" s="2">
        <f>'CAPM Regression'!P26</f>
        <v>0.01</v>
      </c>
      <c r="D28" s="1">
        <f>'ETF QQQ'!I26</f>
        <v>11.225772837745973</v>
      </c>
      <c r="E28" s="1">
        <f t="shared" si="0"/>
        <v>11.215772837745973</v>
      </c>
      <c r="F28" s="1">
        <f>'SMB+HML'!V25</f>
        <v>15.52472919888582</v>
      </c>
      <c r="G28" s="1">
        <f t="shared" si="1"/>
        <v>15.53472919888582</v>
      </c>
      <c r="H28" s="27">
        <f t="shared" si="2"/>
        <v>8.8872330660473029</v>
      </c>
      <c r="I28" s="46">
        <f t="shared" si="3"/>
        <v>1.7348236344954941</v>
      </c>
      <c r="J28">
        <f t="shared" si="4"/>
        <v>1.6202379997860346</v>
      </c>
    </row>
    <row r="29" spans="2:10">
      <c r="B29">
        <v>202012</v>
      </c>
      <c r="C29" s="2">
        <f>'CAPM Regression'!P27</f>
        <v>0.01</v>
      </c>
      <c r="D29" s="1">
        <f>'ETF QQQ'!I27</f>
        <v>4.7126172911335029</v>
      </c>
      <c r="E29" s="1">
        <f t="shared" si="0"/>
        <v>4.7026172911335031</v>
      </c>
      <c r="F29" s="1">
        <f>'SMB+HML'!V26</f>
        <v>7.0186075370676946</v>
      </c>
      <c r="G29" s="1">
        <f t="shared" si="1"/>
        <v>7.0286075370676944</v>
      </c>
      <c r="H29" s="27">
        <f t="shared" si="2"/>
        <v>3.7321001457270815</v>
      </c>
      <c r="I29" s="46">
        <f t="shared" si="3"/>
        <v>1.7995689898866085</v>
      </c>
      <c r="J29">
        <f t="shared" si="4"/>
        <v>1.7341181699574306</v>
      </c>
    </row>
    <row r="30" spans="2:10">
      <c r="B30">
        <v>202101</v>
      </c>
      <c r="C30" s="2">
        <f>'CAPM Regression'!P28</f>
        <v>0.01</v>
      </c>
      <c r="D30" s="1">
        <f>'ETF QQQ'!I28</f>
        <v>0.44309289621926595</v>
      </c>
      <c r="E30" s="1">
        <f t="shared" si="0"/>
        <v>0.43309289621926594</v>
      </c>
      <c r="F30" s="1">
        <f>'SMB+HML'!V27</f>
        <v>0.69547753308887983</v>
      </c>
      <c r="G30" s="1">
        <f t="shared" si="1"/>
        <v>0.70547753308887984</v>
      </c>
      <c r="H30" s="27">
        <f t="shared" si="2"/>
        <v>0.35279105279743889</v>
      </c>
      <c r="I30" s="46">
        <f t="shared" si="3"/>
        <v>1.8059177082718458</v>
      </c>
      <c r="J30">
        <f t="shared" si="4"/>
        <v>1.7463519840436923</v>
      </c>
    </row>
    <row r="31" spans="2:10">
      <c r="B31">
        <v>202102</v>
      </c>
      <c r="C31" s="2">
        <f>'CAPM Regression'!P29</f>
        <v>0</v>
      </c>
      <c r="D31" s="1">
        <f>'ETF QQQ'!I29</f>
        <v>-0.13351026317153236</v>
      </c>
      <c r="E31" s="1">
        <f t="shared" si="0"/>
        <v>-0.13351026317153236</v>
      </c>
      <c r="F31" s="1">
        <f>'SMB+HML'!V28</f>
        <v>0.26140010607576614</v>
      </c>
      <c r="G31" s="1">
        <f t="shared" si="1"/>
        <v>0.26140010607576614</v>
      </c>
      <c r="H31" s="27">
        <f t="shared" si="2"/>
        <v>-0.10567276459935808</v>
      </c>
      <c r="I31" s="46">
        <f t="shared" si="3"/>
        <v>1.8040093451031256</v>
      </c>
      <c r="J31">
        <f t="shared" si="4"/>
        <v>1.7509169499824386</v>
      </c>
    </row>
    <row r="32" spans="2:10">
      <c r="B32">
        <v>202103</v>
      </c>
      <c r="C32" s="2">
        <f>'CAPM Regression'!P30</f>
        <v>0</v>
      </c>
      <c r="D32" s="1">
        <f>'ETF QQQ'!I30</f>
        <v>1.588455139961642</v>
      </c>
      <c r="E32" s="1">
        <f t="shared" si="0"/>
        <v>1.588455139961642</v>
      </c>
      <c r="F32" s="1">
        <f>'SMB+HML'!V29</f>
        <v>-0.48434885605285882</v>
      </c>
      <c r="G32" s="1">
        <f t="shared" si="1"/>
        <v>-0.48434885605285882</v>
      </c>
      <c r="H32" s="27">
        <f t="shared" si="2"/>
        <v>1.2572550011840442</v>
      </c>
      <c r="I32" s="46">
        <f t="shared" si="3"/>
        <v>1.8266903428162624</v>
      </c>
      <c r="J32">
        <f t="shared" si="4"/>
        <v>1.7424364037647631</v>
      </c>
    </row>
    <row r="33" spans="2:10">
      <c r="B33">
        <v>202104</v>
      </c>
      <c r="C33" s="2">
        <f>'CAPM Regression'!P31</f>
        <v>0</v>
      </c>
      <c r="D33" s="1">
        <f>'ETF QQQ'!I31</f>
        <v>6.0435941645441638</v>
      </c>
      <c r="E33" s="1">
        <f t="shared" si="0"/>
        <v>6.0435941645441638</v>
      </c>
      <c r="F33" s="1">
        <f>'SMB+HML'!V30</f>
        <v>-1.0263091550455106</v>
      </c>
      <c r="G33" s="1">
        <f t="shared" si="1"/>
        <v>-1.0263091550455106</v>
      </c>
      <c r="H33" s="27">
        <f t="shared" si="2"/>
        <v>4.7834772272406383</v>
      </c>
      <c r="I33" s="46">
        <f t="shared" si="3"/>
        <v>1.9140696593770823</v>
      </c>
      <c r="J33">
        <f t="shared" si="4"/>
        <v>1.7245536194320794</v>
      </c>
    </row>
    <row r="34" spans="2:10">
      <c r="B34">
        <v>202105</v>
      </c>
      <c r="C34" s="2">
        <f>'CAPM Regression'!P32</f>
        <v>0</v>
      </c>
      <c r="D34" s="1">
        <f>'ETF QQQ'!I32</f>
        <v>-1.2012277317008269</v>
      </c>
      <c r="E34" s="1">
        <f t="shared" si="0"/>
        <v>-1.2012277317008269</v>
      </c>
      <c r="F34" s="1">
        <f>'SMB+HML'!V31</f>
        <v>0.5004942200235083</v>
      </c>
      <c r="G34" s="1">
        <f t="shared" si="1"/>
        <v>0.5004942200235083</v>
      </c>
      <c r="H34" s="27">
        <f t="shared" si="2"/>
        <v>-0.95076627299547123</v>
      </c>
      <c r="I34" s="46">
        <f t="shared" si="3"/>
        <v>1.8958713306140857</v>
      </c>
      <c r="J34">
        <f t="shared" si="4"/>
        <v>1.7331849106185433</v>
      </c>
    </row>
    <row r="35" spans="2:10">
      <c r="B35">
        <v>202106</v>
      </c>
      <c r="C35" s="2">
        <f>'CAPM Regression'!P33</f>
        <v>0</v>
      </c>
      <c r="D35" s="1">
        <f>'ETF QQQ'!I33</f>
        <v>6.1390051429215609</v>
      </c>
      <c r="E35" s="1">
        <f t="shared" si="0"/>
        <v>6.1390051429215609</v>
      </c>
      <c r="F35" s="1">
        <f>'SMB+HML'!V32</f>
        <v>5.3061263486691947</v>
      </c>
      <c r="G35" s="1">
        <f t="shared" si="1"/>
        <v>5.3061263486691947</v>
      </c>
      <c r="H35" s="27">
        <f t="shared" si="2"/>
        <v>4.8589945816279601</v>
      </c>
      <c r="I35" s="46">
        <f t="shared" si="3"/>
        <v>1.987991615843262</v>
      </c>
      <c r="J35">
        <f t="shared" si="4"/>
        <v>1.8251498918320326</v>
      </c>
    </row>
    <row r="36" spans="2:10">
      <c r="B36">
        <v>202107</v>
      </c>
      <c r="C36" s="2">
        <f>'CAPM Regression'!P34</f>
        <v>0</v>
      </c>
      <c r="D36" s="1">
        <f>'ETF QQQ'!I34</f>
        <v>2.9802638613371846</v>
      </c>
      <c r="E36" s="1">
        <f t="shared" si="0"/>
        <v>2.9802638613371846</v>
      </c>
      <c r="F36" s="1">
        <f>'SMB+HML'!V33</f>
        <v>0.69678380528357908</v>
      </c>
      <c r="G36" s="1">
        <f t="shared" si="1"/>
        <v>0.69678380528357908</v>
      </c>
      <c r="H36" s="27">
        <f t="shared" si="2"/>
        <v>2.3588652586088945</v>
      </c>
      <c r="I36" s="46">
        <f t="shared" si="3"/>
        <v>2.0348856594134461</v>
      </c>
      <c r="J36">
        <f t="shared" si="4"/>
        <v>1.8378672407004688</v>
      </c>
    </row>
    <row r="37" spans="2:10">
      <c r="B37">
        <v>202108</v>
      </c>
      <c r="C37" s="2">
        <f>'CAPM Regression'!P35</f>
        <v>0</v>
      </c>
      <c r="D37" s="1">
        <f>'ETF QQQ'!I35</f>
        <v>4.2186759871940094</v>
      </c>
      <c r="E37" s="1">
        <f t="shared" si="0"/>
        <v>4.2186759871940094</v>
      </c>
      <c r="F37" s="1">
        <f>'SMB+HML'!V34</f>
        <v>3.4429252980680802</v>
      </c>
      <c r="G37" s="1">
        <f t="shared" si="1"/>
        <v>3.4429252980680802</v>
      </c>
      <c r="H37" s="27">
        <f t="shared" si="2"/>
        <v>3.3390628100474924</v>
      </c>
      <c r="I37" s="46">
        <f t="shared" si="3"/>
        <v>2.1028317696939105</v>
      </c>
      <c r="J37">
        <f t="shared" si="4"/>
        <v>1.9011436368754513</v>
      </c>
    </row>
    <row r="38" spans="2:10">
      <c r="B38">
        <v>202109</v>
      </c>
      <c r="C38" s="2">
        <f>'CAPM Regression'!P36</f>
        <v>0</v>
      </c>
      <c r="D38" s="1">
        <f>'ETF QQQ'!I36</f>
        <v>-5.7876267566153716</v>
      </c>
      <c r="E38" s="1">
        <f t="shared" ref="E38:E65" si="5">D38-C38</f>
        <v>-5.7876267566153716</v>
      </c>
      <c r="F38" s="1">
        <f>'SMB+HML'!V35</f>
        <v>0.13305710040720475</v>
      </c>
      <c r="G38" s="1">
        <f t="shared" ref="G38:G65" si="6">C38+F38</f>
        <v>0.13305710040720475</v>
      </c>
      <c r="H38" s="27">
        <f t="shared" si="2"/>
        <v>-4.5808801908733656</v>
      </c>
      <c r="I38" s="46">
        <f t="shared" si="3"/>
        <v>2.0065035657086101</v>
      </c>
      <c r="J38">
        <f t="shared" si="4"/>
        <v>1.903673243473254</v>
      </c>
    </row>
    <row r="39" spans="2:10">
      <c r="B39">
        <v>202110</v>
      </c>
      <c r="C39" s="2">
        <f>'CAPM Regression'!P37</f>
        <v>0</v>
      </c>
      <c r="D39" s="1">
        <f>'ETF QQQ'!I37</f>
        <v>7.9836083705154381</v>
      </c>
      <c r="E39" s="1">
        <f t="shared" si="5"/>
        <v>7.9836083705154381</v>
      </c>
      <c r="F39" s="1">
        <f>'SMB+HML'!V36</f>
        <v>8.0296714789836781</v>
      </c>
      <c r="G39" s="1">
        <f t="shared" si="6"/>
        <v>8.0296714789836781</v>
      </c>
      <c r="H39" s="27">
        <f t="shared" si="2"/>
        <v>6.3189896263407963</v>
      </c>
      <c r="I39" s="46">
        <f t="shared" si="3"/>
        <v>2.1332943178778954</v>
      </c>
      <c r="J39">
        <f t="shared" si="4"/>
        <v>2.0565319509574693</v>
      </c>
    </row>
    <row r="40" spans="2:10">
      <c r="B40">
        <v>202111</v>
      </c>
      <c r="C40" s="2">
        <f>'CAPM Regression'!P38</f>
        <v>0</v>
      </c>
      <c r="D40" s="1">
        <f>'ETF QQQ'!I38</f>
        <v>1.9968511935056998</v>
      </c>
      <c r="E40" s="1">
        <f t="shared" si="5"/>
        <v>1.9968511935056998</v>
      </c>
      <c r="F40" s="1">
        <f>'SMB+HML'!V37</f>
        <v>-3.3312897278138038</v>
      </c>
      <c r="G40" s="1">
        <f t="shared" si="6"/>
        <v>-3.3312897278138038</v>
      </c>
      <c r="H40" s="27">
        <f t="shared" si="2"/>
        <v>1.5804986156020708</v>
      </c>
      <c r="I40" s="46">
        <f t="shared" si="3"/>
        <v>2.1670110050386731</v>
      </c>
      <c r="J40">
        <f t="shared" si="4"/>
        <v>1.9880229133260143</v>
      </c>
    </row>
    <row r="41" spans="2:10">
      <c r="B41">
        <v>202112</v>
      </c>
      <c r="C41" s="2">
        <f>'CAPM Regression'!P39</f>
        <v>0.01</v>
      </c>
      <c r="D41" s="1">
        <f>'ETF QQQ'!I39</f>
        <v>1.0233047816762708</v>
      </c>
      <c r="E41" s="1">
        <f t="shared" si="5"/>
        <v>1.0133047816762708</v>
      </c>
      <c r="F41" s="1">
        <f>'SMB+HML'!V38</f>
        <v>-0.23132785749805329</v>
      </c>
      <c r="G41" s="1">
        <f t="shared" si="6"/>
        <v>-0.22132785749805328</v>
      </c>
      <c r="H41" s="27">
        <f t="shared" si="2"/>
        <v>0.81202611483064091</v>
      </c>
      <c r="I41" s="46">
        <f t="shared" si="3"/>
        <v>2.1846077003108411</v>
      </c>
      <c r="J41">
        <f t="shared" si="4"/>
        <v>1.9836228648053795</v>
      </c>
    </row>
    <row r="42" spans="2:10">
      <c r="B42">
        <v>202201</v>
      </c>
      <c r="C42" s="2">
        <f>'CAPM Regression'!P40</f>
        <v>0</v>
      </c>
      <c r="D42" s="1">
        <f>'ETF QQQ'!I40</f>
        <v>-8.6304779062923114</v>
      </c>
      <c r="E42" s="1">
        <f t="shared" si="5"/>
        <v>-8.6304779062923114</v>
      </c>
      <c r="F42" s="1">
        <f>'SMB+HML'!V39</f>
        <v>-4.5319184517071092</v>
      </c>
      <c r="G42" s="1">
        <f t="shared" si="6"/>
        <v>-4.5319184517071092</v>
      </c>
      <c r="H42" s="27">
        <f t="shared" si="2"/>
        <v>-6.830983914696156</v>
      </c>
      <c r="I42" s="46">
        <f t="shared" si="3"/>
        <v>2.0353774997033938</v>
      </c>
      <c r="J42">
        <f t="shared" si="4"/>
        <v>1.8937266941829833</v>
      </c>
    </row>
    <row r="43" spans="2:10">
      <c r="B43">
        <v>202202</v>
      </c>
      <c r="C43" s="2">
        <f>'CAPM Regression'!P41</f>
        <v>0</v>
      </c>
      <c r="D43" s="1">
        <f>'ETF QQQ'!I41</f>
        <v>-4.4759528416299492</v>
      </c>
      <c r="E43" s="1">
        <f t="shared" si="5"/>
        <v>-4.4759528416299492</v>
      </c>
      <c r="F43" s="1">
        <f>'SMB+HML'!V40</f>
        <v>-2.4322140379249646</v>
      </c>
      <c r="G43" s="1">
        <f t="shared" si="6"/>
        <v>-2.4322140379249646</v>
      </c>
      <c r="H43" s="27">
        <f t="shared" si="2"/>
        <v>-3.5426962673551352</v>
      </c>
      <c r="I43" s="46">
        <f t="shared" si="3"/>
        <v>1.9632702569948153</v>
      </c>
      <c r="J43">
        <f t="shared" si="4"/>
        <v>1.8476672076871326</v>
      </c>
    </row>
    <row r="44" spans="2:10">
      <c r="B44">
        <v>202203</v>
      </c>
      <c r="C44" s="2">
        <f>'CAPM Regression'!P42</f>
        <v>0.01</v>
      </c>
      <c r="D44" s="1">
        <f>'ETF QQQ'!I42</f>
        <v>4.5386378375456671</v>
      </c>
      <c r="E44" s="1">
        <f t="shared" si="5"/>
        <v>4.5286378375456673</v>
      </c>
      <c r="F44" s="1">
        <f>'SMB+HML'!V41</f>
        <v>1.8860635397698253</v>
      </c>
      <c r="G44" s="1">
        <f t="shared" si="6"/>
        <v>1.8960635397698253</v>
      </c>
      <c r="H44" s="27">
        <f t="shared" si="2"/>
        <v>3.5943962014206305</v>
      </c>
      <c r="I44" s="46">
        <f t="shared" si="3"/>
        <v>2.0338379685358579</v>
      </c>
      <c r="J44">
        <f t="shared" si="4"/>
        <v>1.8827001519483717</v>
      </c>
    </row>
    <row r="45" spans="2:10">
      <c r="B45">
        <v>202204</v>
      </c>
      <c r="C45" s="2">
        <f>'CAPM Regression'!P43</f>
        <v>0.01</v>
      </c>
      <c r="D45" s="1">
        <f>'ETF QQQ'!I43</f>
        <v>-13.48891065485458</v>
      </c>
      <c r="E45" s="1">
        <f t="shared" si="5"/>
        <v>-13.49891065485458</v>
      </c>
      <c r="F45" s="1">
        <f>'SMB+HML'!V42</f>
        <v>-11.954344786864157</v>
      </c>
      <c r="G45" s="1">
        <f t="shared" si="6"/>
        <v>-11.944344786864157</v>
      </c>
      <c r="H45" s="27">
        <f t="shared" si="2"/>
        <v>-10.674326238991133</v>
      </c>
      <c r="I45" s="46">
        <f t="shared" si="3"/>
        <v>1.8167394686018705</v>
      </c>
      <c r="J45">
        <f t="shared" si="4"/>
        <v>1.6578239544968427</v>
      </c>
    </row>
    <row r="46" spans="2:10">
      <c r="B46">
        <v>202205</v>
      </c>
      <c r="C46" s="2">
        <f>'CAPM Regression'!P44</f>
        <v>0.03</v>
      </c>
      <c r="D46" s="1">
        <f>'ETF QQQ'!I44</f>
        <v>-1.5866142860922694</v>
      </c>
      <c r="E46" s="1">
        <f t="shared" si="5"/>
        <v>-1.6166142860922694</v>
      </c>
      <c r="F46" s="1">
        <f>'SMB+HML'!V43</f>
        <v>4.5847663841611954</v>
      </c>
      <c r="G46" s="1">
        <f t="shared" si="6"/>
        <v>4.6147663841611957</v>
      </c>
      <c r="H46" s="27">
        <f t="shared" si="2"/>
        <v>-1.2495428369630632</v>
      </c>
      <c r="I46" s="46">
        <f t="shared" si="3"/>
        <v>1.7940385307056752</v>
      </c>
      <c r="J46">
        <f t="shared" si="4"/>
        <v>1.7343286570575349</v>
      </c>
    </row>
    <row r="47" spans="2:10">
      <c r="B47">
        <v>202206</v>
      </c>
      <c r="C47" s="2">
        <f>'CAPM Regression'!P45</f>
        <v>0.06</v>
      </c>
      <c r="D47" s="1">
        <f>'ETF QQQ'!I45</f>
        <v>-9.0826436096568592</v>
      </c>
      <c r="E47" s="1">
        <f t="shared" si="5"/>
        <v>-9.1426436096568597</v>
      </c>
      <c r="F47" s="1">
        <f>'SMB+HML'!V44</f>
        <v>-7.378586237979917</v>
      </c>
      <c r="G47" s="1">
        <f t="shared" si="6"/>
        <v>-7.3185862379799174</v>
      </c>
      <c r="H47" s="27">
        <f t="shared" si="2"/>
        <v>-7.1763607338397994</v>
      </c>
      <c r="I47" s="46">
        <f t="shared" si="3"/>
        <v>1.6652918540381565</v>
      </c>
      <c r="J47">
        <f t="shared" si="4"/>
        <v>1.6074003186407801</v>
      </c>
    </row>
    <row r="48" spans="2:10">
      <c r="B48">
        <v>202207</v>
      </c>
      <c r="C48" s="2">
        <f>'CAPM Regression'!P46</f>
        <v>0.08</v>
      </c>
      <c r="D48" s="1">
        <f>'ETF QQQ'!I46</f>
        <v>12.768099448544712</v>
      </c>
      <c r="E48" s="1">
        <f t="shared" si="5"/>
        <v>12.688099448544712</v>
      </c>
      <c r="F48" s="1">
        <f>'SMB+HML'!V45</f>
        <v>11.872494430791809</v>
      </c>
      <c r="G48" s="1">
        <f t="shared" si="6"/>
        <v>11.952494430791809</v>
      </c>
      <c r="H48" s="27">
        <f t="shared" si="2"/>
        <v>10.122572865852897</v>
      </c>
      <c r="I48" s="46">
        <f t="shared" si="3"/>
        <v>1.8338622353922815</v>
      </c>
      <c r="J48">
        <f t="shared" si="4"/>
        <v>1.7995247522068492</v>
      </c>
    </row>
    <row r="49" spans="2:10">
      <c r="B49">
        <v>202208</v>
      </c>
      <c r="C49" s="2">
        <f>'CAPM Regression'!P47</f>
        <v>0.19</v>
      </c>
      <c r="D49" s="1">
        <f>'ETF QQQ'!I47</f>
        <v>-5.1321881089656962</v>
      </c>
      <c r="E49" s="1">
        <f t="shared" si="5"/>
        <v>-5.3221881089656966</v>
      </c>
      <c r="F49" s="1">
        <f>'SMB+HML'!V46</f>
        <v>1.0195374009073983</v>
      </c>
      <c r="G49" s="1">
        <f t="shared" si="6"/>
        <v>1.2095374009073983</v>
      </c>
      <c r="H49" s="27">
        <f t="shared" si="2"/>
        <v>-4.02248762328973</v>
      </c>
      <c r="I49" s="46">
        <f t="shared" si="3"/>
        <v>1.7600953539454427</v>
      </c>
      <c r="J49">
        <f t="shared" si="4"/>
        <v>1.821290677123377</v>
      </c>
    </row>
    <row r="50" spans="2:10">
      <c r="B50">
        <v>202209</v>
      </c>
      <c r="C50" s="2">
        <f>'CAPM Regression'!P48</f>
        <v>0.19</v>
      </c>
      <c r="D50" s="1">
        <f>'ETF QQQ'!I48</f>
        <v>-10.696038218624738</v>
      </c>
      <c r="E50" s="1">
        <f t="shared" si="5"/>
        <v>-10.886038218624737</v>
      </c>
      <c r="F50" s="1">
        <f>'SMB+HML'!V47</f>
        <v>-4.3899719272812989</v>
      </c>
      <c r="G50" s="1">
        <f t="shared" si="6"/>
        <v>-4.1999719272812985</v>
      </c>
      <c r="H50" s="27">
        <f t="shared" si="2"/>
        <v>-8.4262496183411884</v>
      </c>
      <c r="I50" s="46">
        <f t="shared" si="3"/>
        <v>1.6117853259011738</v>
      </c>
      <c r="J50">
        <f t="shared" si="4"/>
        <v>1.7447969799700036</v>
      </c>
    </row>
    <row r="51" spans="2:10">
      <c r="B51">
        <v>202210</v>
      </c>
      <c r="C51" s="2">
        <f>'CAPM Regression'!P49</f>
        <v>0.22999999999999998</v>
      </c>
      <c r="D51" s="1">
        <f>'ETF QQQ'!I49</f>
        <v>4.1867549115629288</v>
      </c>
      <c r="E51" s="1">
        <f t="shared" si="5"/>
        <v>3.9567549115629288</v>
      </c>
      <c r="F51" s="1">
        <f>'SMB+HML'!V48</f>
        <v>8.5036362824329803</v>
      </c>
      <c r="G51" s="1">
        <f t="shared" si="6"/>
        <v>8.7336362824329807</v>
      </c>
      <c r="H51" s="27">
        <f t="shared" si="2"/>
        <v>3.3617534728378611</v>
      </c>
      <c r="I51" s="46">
        <f t="shared" si="3"/>
        <v>1.6659695750693477</v>
      </c>
      <c r="J51">
        <f t="shared" si="4"/>
        <v>1.8971812020674588</v>
      </c>
    </row>
    <row r="52" spans="2:10">
      <c r="B52">
        <v>202211</v>
      </c>
      <c r="C52" s="2">
        <f>'CAPM Regression'!P50</f>
        <v>0.28999999999999998</v>
      </c>
      <c r="D52" s="1">
        <f>'ETF QQQ'!I50</f>
        <v>5.5441429223668237</v>
      </c>
      <c r="E52" s="1">
        <f t="shared" si="5"/>
        <v>5.2541429223668237</v>
      </c>
      <c r="F52" s="1">
        <f>'SMB+HML'!V49</f>
        <v>9.6349158103244736</v>
      </c>
      <c r="G52" s="1">
        <f t="shared" si="6"/>
        <v>9.9249158103244728</v>
      </c>
      <c r="H52" s="27">
        <f t="shared" si="2"/>
        <v>4.4486301683288048</v>
      </c>
      <c r="I52" s="46">
        <f t="shared" si="3"/>
        <v>1.7400824001810622</v>
      </c>
      <c r="J52">
        <f t="shared" si="4"/>
        <v>2.0854748391419555</v>
      </c>
    </row>
    <row r="53" spans="2:10">
      <c r="B53">
        <v>202212</v>
      </c>
      <c r="C53" s="2">
        <f>'CAPM Regression'!P51</f>
        <v>0.33</v>
      </c>
      <c r="D53" s="1">
        <f>'ETF QQQ'!I51</f>
        <v>-9.2309760831256753</v>
      </c>
      <c r="E53" s="1">
        <f t="shared" si="5"/>
        <v>-9.5609760831256754</v>
      </c>
      <c r="F53" s="1">
        <f>'SMB+HML'!V50</f>
        <v>-5.4540013901952946</v>
      </c>
      <c r="G53" s="1">
        <f t="shared" si="6"/>
        <v>-5.1240013901952945</v>
      </c>
      <c r="H53" s="27">
        <f t="shared" si="2"/>
        <v>-7.2374689793260778</v>
      </c>
      <c r="I53" s="46">
        <f t="shared" si="3"/>
        <v>1.6141444762532451</v>
      </c>
      <c r="J53">
        <f t="shared" si="4"/>
        <v>1.9786150793921486</v>
      </c>
    </row>
    <row r="54" spans="2:10">
      <c r="B54">
        <v>202301</v>
      </c>
      <c r="C54" s="2">
        <f>'CAPM Regression'!P52</f>
        <v>0.35</v>
      </c>
      <c r="D54" s="1">
        <f>'ETF QQQ'!I52</f>
        <v>10.90781622928616</v>
      </c>
      <c r="E54" s="1">
        <f t="shared" si="5"/>
        <v>10.557816229286161</v>
      </c>
      <c r="F54" s="1">
        <f>'SMB+HML'!V51</f>
        <v>6.9338739237421274</v>
      </c>
      <c r="G54" s="1">
        <f t="shared" si="6"/>
        <v>7.2838739237421271</v>
      </c>
      <c r="H54" s="27">
        <f t="shared" si="2"/>
        <v>8.7064634102116543</v>
      </c>
      <c r="I54" s="46">
        <f t="shared" si="3"/>
        <v>1.7546793744661866</v>
      </c>
      <c r="J54">
        <f t="shared" si="4"/>
        <v>2.1227349072112229</v>
      </c>
    </row>
    <row r="55" spans="2:10">
      <c r="B55">
        <v>202302</v>
      </c>
      <c r="C55" s="2">
        <f>'CAPM Regression'!P53</f>
        <v>0.34</v>
      </c>
      <c r="D55" s="1">
        <f>'ETF QQQ'!I53</f>
        <v>-0.35977249404617329</v>
      </c>
      <c r="E55" s="1">
        <f t="shared" si="5"/>
        <v>-0.69977249404617337</v>
      </c>
      <c r="F55" s="1">
        <f>'SMB+HML'!V52</f>
        <v>-3.3911359490159687</v>
      </c>
      <c r="G55" s="1">
        <f t="shared" si="6"/>
        <v>-3.0511359490159689</v>
      </c>
      <c r="H55" s="27">
        <f t="shared" si="2"/>
        <v>-0.21386673862998007</v>
      </c>
      <c r="I55" s="46">
        <f t="shared" si="3"/>
        <v>1.7509266989146028</v>
      </c>
      <c r="J55">
        <f t="shared" si="4"/>
        <v>2.0579673793549906</v>
      </c>
    </row>
    <row r="56" spans="2:10">
      <c r="B56">
        <v>202303</v>
      </c>
      <c r="C56" s="2">
        <f>'CAPM Regression'!P54</f>
        <v>0.36</v>
      </c>
      <c r="D56" s="1">
        <f>'ETF QQQ'!I54</f>
        <v>9.3234770747720788</v>
      </c>
      <c r="E56" s="1">
        <f t="shared" si="5"/>
        <v>8.9634770747720793</v>
      </c>
      <c r="F56" s="1">
        <f>'SMB+HML'!V53</f>
        <v>5.3950796730697572</v>
      </c>
      <c r="G56" s="1">
        <f t="shared" si="6"/>
        <v>5.7550796730697575</v>
      </c>
      <c r="H56" s="27">
        <f t="shared" si="2"/>
        <v>7.4545512383357933</v>
      </c>
      <c r="I56" s="46">
        <f t="shared" si="3"/>
        <v>1.8814504268308936</v>
      </c>
      <c r="J56">
        <f t="shared" si="4"/>
        <v>2.1764050416826564</v>
      </c>
    </row>
    <row r="57" spans="2:10">
      <c r="B57">
        <v>202304</v>
      </c>
      <c r="C57" s="2">
        <f>'CAPM Regression'!P55</f>
        <v>0.35</v>
      </c>
      <c r="D57" s="1">
        <f>'ETF QQQ'!I55</f>
        <v>0.66349868782165089</v>
      </c>
      <c r="E57" s="1">
        <f t="shared" si="5"/>
        <v>0.31349868782165091</v>
      </c>
      <c r="F57" s="1">
        <f>'SMB+HML'!V54</f>
        <v>-0.93571278742426012</v>
      </c>
      <c r="G57" s="1">
        <f t="shared" si="6"/>
        <v>-0.58571278742426014</v>
      </c>
      <c r="H57" s="27">
        <f t="shared" si="2"/>
        <v>0.59813278210546372</v>
      </c>
      <c r="I57" s="46">
        <f t="shared" si="3"/>
        <v>1.8927039986128322</v>
      </c>
      <c r="J57">
        <f t="shared" si="4"/>
        <v>2.1636575590473748</v>
      </c>
    </row>
    <row r="58" spans="2:10">
      <c r="B58">
        <v>202305</v>
      </c>
      <c r="C58" s="2">
        <f>'CAPM Regression'!P56</f>
        <v>0.36</v>
      </c>
      <c r="D58" s="1">
        <f>'ETF QQQ'!I56</f>
        <v>7.8837977846326845</v>
      </c>
      <c r="E58" s="1">
        <f t="shared" si="5"/>
        <v>7.5237977846326842</v>
      </c>
      <c r="F58" s="1">
        <f>'SMB+HML'!V55</f>
        <v>3.5612338427268768</v>
      </c>
      <c r="G58" s="1">
        <f t="shared" si="6"/>
        <v>3.9212338427268767</v>
      </c>
      <c r="H58" s="27">
        <f t="shared" si="2"/>
        <v>6.3150516439861812</v>
      </c>
      <c r="I58" s="46">
        <f t="shared" si="3"/>
        <v>2.0122292335930241</v>
      </c>
      <c r="J58">
        <f t="shared" si="4"/>
        <v>2.2484996314934587</v>
      </c>
    </row>
    <row r="59" spans="2:10">
      <c r="B59">
        <v>202306</v>
      </c>
      <c r="C59" s="2">
        <f>'CAPM Regression'!P57</f>
        <v>0.4</v>
      </c>
      <c r="D59" s="1">
        <f>'ETF QQQ'!I57</f>
        <v>6.1582339717543677</v>
      </c>
      <c r="E59" s="1">
        <f t="shared" si="5"/>
        <v>5.7582339717543674</v>
      </c>
      <c r="F59" s="1">
        <f>'SMB+HML'!V56</f>
        <v>5.051634109795736</v>
      </c>
      <c r="G59" s="1">
        <f t="shared" si="6"/>
        <v>5.4516341097957364</v>
      </c>
      <c r="H59" s="27">
        <f t="shared" si="2"/>
        <v>4.957615935663668</v>
      </c>
      <c r="I59" s="46">
        <f t="shared" si="3"/>
        <v>2.1119878307397144</v>
      </c>
      <c r="J59">
        <f t="shared" si="4"/>
        <v>2.3710796043625875</v>
      </c>
    </row>
    <row r="60" spans="2:10">
      <c r="B60">
        <v>202307</v>
      </c>
      <c r="C60" s="2">
        <f>'CAPM Regression'!P58</f>
        <v>0.45000000000000007</v>
      </c>
      <c r="D60" s="1">
        <f>'ETF QQQ'!I58</f>
        <v>4.0025610200812745</v>
      </c>
      <c r="E60" s="1">
        <f t="shared" si="5"/>
        <v>3.5525610200812743</v>
      </c>
      <c r="F60" s="1">
        <f>'SMB+HML'!V57</f>
        <v>3.1157385015196017</v>
      </c>
      <c r="G60" s="1">
        <f t="shared" si="6"/>
        <v>3.5657385015196019</v>
      </c>
      <c r="H60" s="27">
        <f t="shared" si="2"/>
        <v>3.2618358505337008</v>
      </c>
      <c r="I60" s="46">
        <f t="shared" si="3"/>
        <v>2.1808774069616916</v>
      </c>
      <c r="J60">
        <f t="shared" si="4"/>
        <v>2.455626102717023</v>
      </c>
    </row>
    <row r="61" spans="2:10">
      <c r="B61">
        <v>202308</v>
      </c>
      <c r="C61" s="2">
        <f>'CAPM Regression'!P59</f>
        <v>0.45000000000000007</v>
      </c>
      <c r="D61" s="1">
        <f>'ETF QQQ'!I59</f>
        <v>-1.4830050671375106</v>
      </c>
      <c r="E61" s="1">
        <f t="shared" si="5"/>
        <v>-1.9330050671375107</v>
      </c>
      <c r="F61" s="1">
        <f>'SMB+HML'!V58</f>
        <v>-2.8838763943343269</v>
      </c>
      <c r="G61" s="1">
        <f t="shared" si="6"/>
        <v>-2.4338763943343267</v>
      </c>
      <c r="H61" s="27">
        <f t="shared" si="2"/>
        <v>-1.0799646976693473</v>
      </c>
      <c r="I61" s="46">
        <f t="shared" si="3"/>
        <v>2.1573247008670586</v>
      </c>
      <c r="J61">
        <f t="shared" si="4"/>
        <v>2.3958591986698816</v>
      </c>
    </row>
    <row r="62" spans="2:10">
      <c r="B62">
        <v>202309</v>
      </c>
      <c r="C62" s="2">
        <f>'CAPM Regression'!P60</f>
        <v>0.43</v>
      </c>
      <c r="D62" s="1">
        <f>'ETF QQQ'!I60</f>
        <v>-5.2170807199574227</v>
      </c>
      <c r="E62" s="1">
        <f t="shared" si="5"/>
        <v>-5.6470807199574224</v>
      </c>
      <c r="F62" s="1">
        <f>'SMB+HML'!V59</f>
        <v>-4.9826347069258849</v>
      </c>
      <c r="G62" s="1">
        <f t="shared" si="6"/>
        <v>-4.5526347069258852</v>
      </c>
      <c r="H62" s="27">
        <f t="shared" si="2"/>
        <v>-4.0396386436370557</v>
      </c>
      <c r="I62" s="46">
        <f t="shared" si="3"/>
        <v>2.0701765785821054</v>
      </c>
      <c r="J62">
        <f t="shared" si="4"/>
        <v>2.2867844812621603</v>
      </c>
    </row>
    <row r="63" spans="2:10">
      <c r="B63">
        <v>202310</v>
      </c>
      <c r="C63" s="2">
        <f>'CAPM Regression'!P61</f>
        <v>0.46999999999999992</v>
      </c>
      <c r="D63" s="1">
        <f>'ETF QQQ'!I61</f>
        <v>-1.9237107969684031</v>
      </c>
      <c r="E63" s="1">
        <f t="shared" si="5"/>
        <v>-2.3937107969684028</v>
      </c>
      <c r="F63" s="1">
        <f>'SMB+HML'!V60</f>
        <v>-2.0844250244620817</v>
      </c>
      <c r="G63" s="1">
        <f t="shared" si="6"/>
        <v>-1.6144250244620817</v>
      </c>
      <c r="H63" s="27">
        <f t="shared" si="2"/>
        <v>-1.4246111823777678</v>
      </c>
      <c r="I63" s="46">
        <f t="shared" si="3"/>
        <v>2.0406846115486594</v>
      </c>
      <c r="J63">
        <f t="shared" si="4"/>
        <v>2.2498660603411484</v>
      </c>
    </row>
    <row r="64" spans="2:10">
      <c r="B64">
        <v>202311</v>
      </c>
      <c r="C64" s="2">
        <f>'CAPM Regression'!P62</f>
        <v>0.44</v>
      </c>
      <c r="D64" s="1">
        <f>'ETF QQQ'!I62</f>
        <v>10.818829133164499</v>
      </c>
      <c r="E64" s="1">
        <f t="shared" si="5"/>
        <v>10.3788291331645</v>
      </c>
      <c r="F64" s="1">
        <f>'SMB+HML'!V61</f>
        <v>9.8920072371808008</v>
      </c>
      <c r="G64" s="1">
        <f t="shared" si="6"/>
        <v>10.3320072371808</v>
      </c>
      <c r="H64" s="27">
        <f t="shared" si="2"/>
        <v>8.6547959396705583</v>
      </c>
      <c r="I64" s="46">
        <f t="shared" si="3"/>
        <v>2.2173017004504545</v>
      </c>
      <c r="J64">
        <f t="shared" si="4"/>
        <v>2.4823223845224702</v>
      </c>
    </row>
    <row r="65" spans="2:10">
      <c r="B65">
        <v>202312</v>
      </c>
      <c r="C65" s="2">
        <f>'CAPM Regression'!P63</f>
        <v>0.43</v>
      </c>
      <c r="D65" s="1">
        <f>'ETF QQQ'!I63</f>
        <v>5.3210858444164177</v>
      </c>
      <c r="E65" s="1">
        <f t="shared" si="5"/>
        <v>4.891085844416418</v>
      </c>
      <c r="F65" s="1">
        <f>'SMB+HML'!V62</f>
        <v>4.452811171784659</v>
      </c>
      <c r="G65" s="1">
        <f t="shared" si="6"/>
        <v>4.8828111717846587</v>
      </c>
      <c r="H65" s="27">
        <f t="shared" si="2"/>
        <v>4.3012721463833845</v>
      </c>
      <c r="I65" s="46">
        <f t="shared" si="3"/>
        <v>2.312673880893215</v>
      </c>
      <c r="J65">
        <f t="shared" si="4"/>
        <v>2.6035294992336446</v>
      </c>
    </row>
    <row r="67" spans="2:10">
      <c r="F67" s="2" t="s">
        <v>139</v>
      </c>
      <c r="G67" s="1">
        <f>AVERAGE(G54:G65)</f>
        <v>2.4128827998047533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0029-912E-466A-9E58-BCA9A979B4E1}">
  <dimension ref="D26:L70"/>
  <sheetViews>
    <sheetView tabSelected="1" topLeftCell="D22" zoomScaleNormal="100" workbookViewId="0">
      <selection activeCell="J34" sqref="J34"/>
    </sheetView>
  </sheetViews>
  <sheetFormatPr defaultRowHeight="14.4"/>
  <cols>
    <col min="4" max="4" width="25.6640625" customWidth="1"/>
    <col min="5" max="5" width="18" customWidth="1"/>
    <col min="6" max="6" width="19.44140625" customWidth="1"/>
    <col min="7" max="7" width="22.44140625" customWidth="1"/>
    <col min="8" max="8" width="20.33203125" customWidth="1"/>
    <col min="9" max="9" width="21.77734375" customWidth="1"/>
    <col min="10" max="10" width="27.109375" customWidth="1"/>
    <col min="11" max="11" width="18.33203125" customWidth="1"/>
    <col min="12" max="12" width="22.33203125" customWidth="1"/>
  </cols>
  <sheetData>
    <row r="26" spans="4:9" ht="28.2" customHeight="1">
      <c r="G26" s="43" t="s">
        <v>130</v>
      </c>
      <c r="H26" s="43" t="s">
        <v>131</v>
      </c>
      <c r="I26" s="43" t="s">
        <v>132</v>
      </c>
    </row>
    <row r="27" spans="4:9" ht="32.4" customHeight="1">
      <c r="D27" s="64" t="s">
        <v>129</v>
      </c>
      <c r="E27" s="64"/>
      <c r="F27" s="2" t="s">
        <v>133</v>
      </c>
      <c r="G27" s="50"/>
      <c r="H27" s="50"/>
      <c r="I27" s="50"/>
    </row>
    <row r="28" spans="4:9" ht="36.6" customHeight="1">
      <c r="D28" s="64"/>
      <c r="E28" s="64"/>
      <c r="F28" s="2" t="s">
        <v>134</v>
      </c>
      <c r="G28" s="50"/>
      <c r="H28" s="60"/>
      <c r="I28" s="50"/>
    </row>
    <row r="29" spans="4:9" ht="35.4" customHeight="1">
      <c r="D29" s="64"/>
      <c r="E29" s="64"/>
      <c r="F29" s="2" t="s">
        <v>135</v>
      </c>
      <c r="G29" s="50"/>
      <c r="H29" s="50"/>
      <c r="I29" s="50"/>
    </row>
    <row r="32" spans="4:9" ht="43.2" customHeight="1">
      <c r="D32" s="67" t="s">
        <v>125</v>
      </c>
      <c r="E32" s="67"/>
      <c r="F32" s="63" t="s">
        <v>127</v>
      </c>
      <c r="G32" s="63"/>
      <c r="H32" s="63"/>
      <c r="I32" s="63"/>
    </row>
    <row r="33" spans="4:12" ht="31.2" customHeight="1"/>
    <row r="34" spans="4:12" ht="22.2" customHeight="1"/>
    <row r="35" spans="4:12" ht="43.2" customHeight="1">
      <c r="D35" s="64" t="s">
        <v>126</v>
      </c>
      <c r="E35" s="64"/>
      <c r="F35" s="65" t="s">
        <v>109</v>
      </c>
      <c r="G35" s="63"/>
      <c r="H35" s="63"/>
      <c r="I35" s="63"/>
    </row>
    <row r="38" spans="4:12">
      <c r="D38" s="67" t="s">
        <v>178</v>
      </c>
      <c r="E38" s="67"/>
    </row>
    <row r="39" spans="4:12" ht="26.4" customHeight="1">
      <c r="D39" s="67"/>
      <c r="E39" s="67"/>
    </row>
    <row r="40" spans="4:12">
      <c r="F40" s="2" t="s">
        <v>110</v>
      </c>
      <c r="G40" s="43" t="s">
        <v>32</v>
      </c>
      <c r="H40" s="43" t="s">
        <v>128</v>
      </c>
      <c r="I40" s="2" t="s">
        <v>123</v>
      </c>
      <c r="J40" s="2" t="s">
        <v>153</v>
      </c>
      <c r="K40" s="2" t="s">
        <v>45</v>
      </c>
      <c r="L40" s="2" t="s">
        <v>120</v>
      </c>
    </row>
    <row r="41" spans="4:12">
      <c r="D41" s="2"/>
      <c r="E41" s="2" t="s">
        <v>6</v>
      </c>
      <c r="F41" s="2" t="s">
        <v>115</v>
      </c>
      <c r="G41" s="27">
        <f>'Active Porfolio'!G11</f>
        <v>1.2757874207487665</v>
      </c>
      <c r="H41" s="27">
        <f>'Active Porfolio'!F11</f>
        <v>0.56819190641271278</v>
      </c>
      <c r="I41" s="49">
        <f>'P2 Netflix'!G65</f>
        <v>0.65111230583436819</v>
      </c>
      <c r="J41" s="49">
        <f>'Active Porfolio'!D38</f>
        <v>0.14259114088294922</v>
      </c>
      <c r="K41" s="27">
        <f>'Active Porfolio'!I11</f>
        <v>98.135622932699675</v>
      </c>
      <c r="L41" s="2" t="s">
        <v>122</v>
      </c>
    </row>
    <row r="42" spans="4:12">
      <c r="D42" s="2"/>
      <c r="E42" s="2" t="s">
        <v>7</v>
      </c>
      <c r="F42" s="2" t="s">
        <v>116</v>
      </c>
      <c r="G42" s="27">
        <f>'Active Porfolio'!G12</f>
        <v>0.86510831566386048</v>
      </c>
      <c r="H42" s="27">
        <f>'Active Porfolio'!F12</f>
        <v>0.67984664593832611</v>
      </c>
      <c r="I42" s="49">
        <f>'P2 PDD'!G66</f>
        <v>0.66773045704785861</v>
      </c>
      <c r="J42" s="49">
        <f>'Active Porfolio'!D39</f>
        <v>4.2377681613524433E-2</v>
      </c>
      <c r="K42" s="27">
        <f>'Active Porfolio'!I12</f>
        <v>395.09173965186267</v>
      </c>
      <c r="L42" s="2" t="s">
        <v>122</v>
      </c>
    </row>
    <row r="43" spans="4:12">
      <c r="D43" s="2"/>
      <c r="E43" s="2" t="s">
        <v>33</v>
      </c>
      <c r="F43" s="2" t="s">
        <v>117</v>
      </c>
      <c r="G43" s="27">
        <f>'Active Porfolio'!G13</f>
        <v>1.6319118732950366</v>
      </c>
      <c r="H43" s="27">
        <f>'Active Porfolio'!F13</f>
        <v>0.61618443014538271</v>
      </c>
      <c r="I43" s="49">
        <f>'P2 AMD'!G66</f>
        <v>1.2758995032839042</v>
      </c>
      <c r="J43" s="49">
        <f>'Active Porfolio'!D40</f>
        <v>9.5818706607248644E-2</v>
      </c>
      <c r="K43" s="27">
        <f>'Active Porfolio'!I13</f>
        <v>158.37426058492437</v>
      </c>
      <c r="L43" s="2" t="s">
        <v>122</v>
      </c>
    </row>
    <row r="44" spans="4:12">
      <c r="D44" s="2"/>
      <c r="E44" s="2" t="s">
        <v>8</v>
      </c>
      <c r="F44" s="2" t="s">
        <v>118</v>
      </c>
      <c r="G44" s="27">
        <f>'Active Porfolio'!G14</f>
        <v>1.4570305957757153</v>
      </c>
      <c r="H44" s="27">
        <f>'Active Porfolio'!F14</f>
        <v>0.62341874400577879</v>
      </c>
      <c r="I44" s="49">
        <f>'P2 FSLR'!G65</f>
        <v>0.15014358135392936</v>
      </c>
      <c r="J44" s="49">
        <f>'Active Porfolio'!D41</f>
        <v>0.10340218093842907</v>
      </c>
      <c r="K44" s="27">
        <f>'Active Porfolio'!I14</f>
        <v>148.4821820631189</v>
      </c>
      <c r="L44" s="2" t="s">
        <v>121</v>
      </c>
    </row>
    <row r="45" spans="4:12">
      <c r="D45" s="2"/>
      <c r="E45" s="2" t="s">
        <v>9</v>
      </c>
      <c r="F45" s="2" t="s">
        <v>114</v>
      </c>
      <c r="G45" s="27">
        <f>'Active Porfolio'!G15</f>
        <v>0.61824724565782996</v>
      </c>
      <c r="H45" s="27">
        <f>'Active Porfolio'!F15</f>
        <v>0.44737701389547191</v>
      </c>
      <c r="I45" s="49">
        <f>'P2 Shell'!G65</f>
        <v>0.15539950561194904</v>
      </c>
      <c r="J45" s="49">
        <f>'Active Porfolio'!D42</f>
        <v>0.19041354994082407</v>
      </c>
      <c r="K45" s="27">
        <f>'Active Porfolio'!I15</f>
        <v>57.862874000925949</v>
      </c>
      <c r="L45" s="2" t="s">
        <v>121</v>
      </c>
    </row>
    <row r="46" spans="4:12">
      <c r="D46" s="2"/>
      <c r="E46" s="2" t="s">
        <v>72</v>
      </c>
      <c r="F46" s="2" t="s">
        <v>119</v>
      </c>
      <c r="G46" s="27">
        <f>'Active Porfolio'!G16</f>
        <v>0.48048942044218201</v>
      </c>
      <c r="H46" s="27">
        <f>'Active Porfolio'!F16</f>
        <v>0.18562003677601469</v>
      </c>
      <c r="I46" s="49">
        <f>'P2 JNJ'!H65</f>
        <v>-8.5783812598810405E-2</v>
      </c>
      <c r="J46" s="49">
        <f>'Active Porfolio'!D43</f>
        <v>0.23983732167565686</v>
      </c>
      <c r="K46" s="27">
        <f>'Active Porfolio'!I16</f>
        <v>19.060411522759928</v>
      </c>
      <c r="L46" s="2" t="s">
        <v>121</v>
      </c>
    </row>
    <row r="47" spans="4:12" ht="19.8" customHeight="1">
      <c r="D47" s="2"/>
      <c r="E47" s="2" t="s">
        <v>92</v>
      </c>
      <c r="F47" s="2" t="s">
        <v>151</v>
      </c>
      <c r="G47" s="2">
        <v>1</v>
      </c>
      <c r="H47" s="2" t="s">
        <v>152</v>
      </c>
      <c r="I47" s="2" t="s">
        <v>152</v>
      </c>
      <c r="J47" s="59">
        <f>'SMB+HML'!N3</f>
        <v>0.18555941834136769</v>
      </c>
      <c r="K47" s="1">
        <f>'CAPM Regression'!O68</f>
        <v>30.910950847457627</v>
      </c>
      <c r="L47" s="2" t="s">
        <v>122</v>
      </c>
    </row>
    <row r="48" spans="4:12" ht="29.4" customHeight="1">
      <c r="D48" s="2"/>
    </row>
    <row r="49" spans="4:11" ht="29.4" customHeight="1">
      <c r="D49" s="2"/>
    </row>
    <row r="50" spans="4:11" ht="29.4" customHeight="1">
      <c r="D50" s="68" t="s">
        <v>154</v>
      </c>
      <c r="E50" s="68"/>
    </row>
    <row r="51" spans="4:11">
      <c r="D51" s="68"/>
      <c r="E51" s="68"/>
    </row>
    <row r="52" spans="4:11">
      <c r="D52" s="62"/>
      <c r="E52" s="43" t="s">
        <v>158</v>
      </c>
      <c r="F52" s="43" t="s">
        <v>159</v>
      </c>
      <c r="G52" s="43" t="s">
        <v>160</v>
      </c>
      <c r="H52" s="43" t="s">
        <v>161</v>
      </c>
      <c r="I52" s="43" t="s">
        <v>157</v>
      </c>
      <c r="J52" s="43" t="s">
        <v>180</v>
      </c>
      <c r="K52" s="42" t="s">
        <v>179</v>
      </c>
    </row>
    <row r="53" spans="4:11">
      <c r="D53" s="2" t="s">
        <v>6</v>
      </c>
      <c r="E53" s="2" t="s">
        <v>155</v>
      </c>
      <c r="F53" s="2" t="s">
        <v>156</v>
      </c>
      <c r="G53" s="61">
        <v>12.03</v>
      </c>
      <c r="H53" s="2" t="s">
        <v>162</v>
      </c>
      <c r="I53" s="2">
        <v>44.56</v>
      </c>
      <c r="J53" s="2">
        <v>0.95</v>
      </c>
      <c r="K53" s="49">
        <v>0.32929999999999998</v>
      </c>
    </row>
    <row r="54" spans="4:11">
      <c r="D54" s="2"/>
      <c r="K54" s="2"/>
    </row>
    <row r="55" spans="4:11">
      <c r="D55" s="2" t="s">
        <v>7</v>
      </c>
      <c r="E55" s="2" t="s">
        <v>163</v>
      </c>
      <c r="F55" s="2" t="s">
        <v>165</v>
      </c>
      <c r="G55" s="61">
        <v>5.81</v>
      </c>
      <c r="H55" s="2" t="s">
        <v>164</v>
      </c>
      <c r="I55" s="2">
        <v>14.66</v>
      </c>
      <c r="J55" s="2">
        <v>2.11</v>
      </c>
      <c r="K55" s="49">
        <v>0.48320000000000002</v>
      </c>
    </row>
    <row r="56" spans="4:11">
      <c r="D56" s="2"/>
      <c r="K56" s="2"/>
    </row>
    <row r="57" spans="4:11">
      <c r="D57" s="2" t="s">
        <v>33</v>
      </c>
      <c r="E57" s="2" t="s">
        <v>166</v>
      </c>
      <c r="F57" s="2" t="s">
        <v>168</v>
      </c>
      <c r="G57" s="61">
        <v>0.53</v>
      </c>
      <c r="H57" s="2" t="s">
        <v>167</v>
      </c>
      <c r="I57" s="2">
        <v>80.62</v>
      </c>
      <c r="J57" s="2">
        <v>2.82</v>
      </c>
      <c r="K57" s="49">
        <v>2.4199999999999999E-2</v>
      </c>
    </row>
    <row r="58" spans="4:11">
      <c r="D58" s="2"/>
      <c r="K58" s="2"/>
    </row>
    <row r="59" spans="4:11">
      <c r="D59" s="2" t="s">
        <v>8</v>
      </c>
      <c r="E59" s="2" t="s">
        <v>169</v>
      </c>
      <c r="F59" s="2" t="s">
        <v>171</v>
      </c>
      <c r="G59" s="61">
        <v>7.74</v>
      </c>
      <c r="H59" s="2" t="s">
        <v>170</v>
      </c>
      <c r="I59" s="2">
        <v>18.75</v>
      </c>
      <c r="J59" s="2">
        <v>2.23</v>
      </c>
      <c r="K59" s="49">
        <v>0.17730000000000001</v>
      </c>
    </row>
    <row r="60" spans="4:11">
      <c r="D60" s="2"/>
      <c r="K60" s="2"/>
    </row>
    <row r="61" spans="4:11">
      <c r="D61" s="2" t="s">
        <v>9</v>
      </c>
      <c r="E61" s="2" t="s">
        <v>172</v>
      </c>
      <c r="F61" s="2" t="s">
        <v>173</v>
      </c>
      <c r="G61" s="61">
        <v>5.7</v>
      </c>
      <c r="H61" s="2" t="s">
        <v>174</v>
      </c>
      <c r="I61" s="2">
        <v>8.11</v>
      </c>
      <c r="J61" s="2">
        <v>1.41</v>
      </c>
      <c r="K61" s="49">
        <v>9.7199999999999995E-2</v>
      </c>
    </row>
    <row r="62" spans="4:11">
      <c r="D62" s="2"/>
      <c r="K62" s="2"/>
    </row>
    <row r="63" spans="4:11">
      <c r="D63" s="2" t="s">
        <v>72</v>
      </c>
      <c r="E63" s="2" t="s">
        <v>175</v>
      </c>
      <c r="F63" s="2" t="s">
        <v>176</v>
      </c>
      <c r="G63" s="61">
        <v>13.72</v>
      </c>
      <c r="H63" s="2" t="s">
        <v>177</v>
      </c>
      <c r="I63" s="2">
        <v>15.42</v>
      </c>
      <c r="J63" s="2">
        <v>1.07</v>
      </c>
      <c r="K63" s="49">
        <v>0.54010000000000002</v>
      </c>
    </row>
    <row r="68" spans="4:7">
      <c r="D68" s="66" t="s">
        <v>184</v>
      </c>
      <c r="E68" s="66"/>
      <c r="F68" s="2" t="s">
        <v>32</v>
      </c>
      <c r="G68" s="27">
        <f>'Active Porfolio'!D47</f>
        <v>0.94412646172502079</v>
      </c>
    </row>
    <row r="69" spans="4:7">
      <c r="D69" s="66"/>
      <c r="E69" s="66"/>
      <c r="F69" s="2" t="s">
        <v>45</v>
      </c>
      <c r="G69" s="27">
        <f>'Active Porfolio'!D49</f>
        <v>9.8322111219712447</v>
      </c>
    </row>
    <row r="70" spans="4:7">
      <c r="D70" s="66"/>
      <c r="E70" s="66"/>
      <c r="F70" s="2" t="s">
        <v>77</v>
      </c>
      <c r="G70" s="27">
        <f>'Active Porfolio'!D51</f>
        <v>0.47257703881227425</v>
      </c>
    </row>
  </sheetData>
  <mergeCells count="8">
    <mergeCell ref="D27:E29"/>
    <mergeCell ref="D50:E51"/>
    <mergeCell ref="D32:E32"/>
    <mergeCell ref="F32:I32"/>
    <mergeCell ref="D35:E35"/>
    <mergeCell ref="F35:I35"/>
    <mergeCell ref="D68:E70"/>
    <mergeCell ref="D38: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P2 Netflix</vt:lpstr>
      <vt:lpstr>P2 PDD</vt:lpstr>
      <vt:lpstr>P2 AMD</vt:lpstr>
      <vt:lpstr>P2 FSLR</vt:lpstr>
      <vt:lpstr>P2 Shell</vt:lpstr>
      <vt:lpstr>P2 JNJ</vt:lpstr>
      <vt:lpstr>CAPM Regression</vt:lpstr>
      <vt:lpstr>Active Porfolio</vt:lpstr>
      <vt:lpstr>selection</vt:lpstr>
      <vt:lpstr>SMB+HML</vt:lpstr>
      <vt:lpstr>ETF QQQ</vt:lpstr>
      <vt:lpstr>Visualization</vt:lpstr>
      <vt:lpstr>Investment Style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Lee</dc:creator>
  <cp:lastModifiedBy>Austin Lee</cp:lastModifiedBy>
  <dcterms:created xsi:type="dcterms:W3CDTF">2024-09-29T13:04:52Z</dcterms:created>
  <dcterms:modified xsi:type="dcterms:W3CDTF">2026-07-09T07:23:03Z</dcterms:modified>
</cp:coreProperties>
</file>