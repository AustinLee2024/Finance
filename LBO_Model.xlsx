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0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初级会计题库\"/>
    </mc:Choice>
  </mc:AlternateContent>
  <xr:revisionPtr revIDLastSave="0" documentId="13_ncr:1_{0F16246C-7D04-45D9-94B7-78CC880D33F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LBO" sheetId="3" r:id="rId1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45" i="3" l="1"/>
  <c r="N239" i="3"/>
  <c r="N242" i="3" s="1"/>
  <c r="M239" i="3"/>
  <c r="M242" i="3" s="1"/>
  <c r="L239" i="3"/>
  <c r="L242" i="3" s="1"/>
  <c r="K239" i="3"/>
  <c r="K245" i="3" s="1"/>
  <c r="J242" i="3"/>
  <c r="J239" i="3"/>
  <c r="J245" i="3" s="1"/>
  <c r="C236" i="3"/>
  <c r="I249" i="3" s="1"/>
  <c r="I230" i="3"/>
  <c r="N225" i="3"/>
  <c r="I224" i="3"/>
  <c r="I113" i="3"/>
  <c r="I114" i="3"/>
  <c r="M114" i="3" s="1"/>
  <c r="I111" i="3"/>
  <c r="N111" i="3" s="1"/>
  <c r="I112" i="3"/>
  <c r="M230" i="3"/>
  <c r="L230" i="3"/>
  <c r="K230" i="3"/>
  <c r="J230" i="3"/>
  <c r="J198" i="3"/>
  <c r="N190" i="3"/>
  <c r="M190" i="3"/>
  <c r="L190" i="3"/>
  <c r="K190" i="3"/>
  <c r="J190" i="3"/>
  <c r="N176" i="3"/>
  <c r="N199" i="3" s="1"/>
  <c r="M176" i="3"/>
  <c r="M199" i="3" s="1"/>
  <c r="L176" i="3"/>
  <c r="L199" i="3" s="1"/>
  <c r="K176" i="3"/>
  <c r="K199" i="3" s="1"/>
  <c r="J176" i="3"/>
  <c r="J199" i="3" s="1"/>
  <c r="J175" i="3"/>
  <c r="J167" i="3"/>
  <c r="N139" i="3"/>
  <c r="M139" i="3"/>
  <c r="L139" i="3"/>
  <c r="K139" i="3"/>
  <c r="J139" i="3"/>
  <c r="N131" i="3"/>
  <c r="M131" i="3"/>
  <c r="L131" i="3"/>
  <c r="K131" i="3"/>
  <c r="J131" i="3"/>
  <c r="N130" i="3"/>
  <c r="M130" i="3"/>
  <c r="L130" i="3"/>
  <c r="K130" i="3"/>
  <c r="J130" i="3"/>
  <c r="N129" i="3"/>
  <c r="M129" i="3"/>
  <c r="L129" i="3"/>
  <c r="K129" i="3"/>
  <c r="J129" i="3"/>
  <c r="J128" i="3"/>
  <c r="N104" i="3"/>
  <c r="M104" i="3"/>
  <c r="L104" i="3"/>
  <c r="K104" i="3"/>
  <c r="J104" i="3"/>
  <c r="J82" i="3"/>
  <c r="J87" i="3" s="1"/>
  <c r="J151" i="3" s="1"/>
  <c r="N77" i="3"/>
  <c r="M77" i="3"/>
  <c r="L77" i="3"/>
  <c r="K77" i="3"/>
  <c r="J77" i="3"/>
  <c r="N75" i="3"/>
  <c r="M75" i="3"/>
  <c r="L75" i="3"/>
  <c r="K75" i="3"/>
  <c r="J75" i="3"/>
  <c r="N74" i="3"/>
  <c r="M74" i="3"/>
  <c r="L74" i="3"/>
  <c r="K74" i="3"/>
  <c r="J74" i="3"/>
  <c r="N73" i="3"/>
  <c r="M73" i="3"/>
  <c r="L73" i="3"/>
  <c r="K73" i="3"/>
  <c r="J73" i="3"/>
  <c r="N72" i="3"/>
  <c r="M72" i="3"/>
  <c r="L72" i="3"/>
  <c r="K72" i="3"/>
  <c r="J72" i="3"/>
  <c r="J70" i="3"/>
  <c r="N69" i="3"/>
  <c r="M69" i="3"/>
  <c r="L69" i="3"/>
  <c r="K69" i="3"/>
  <c r="J69" i="3"/>
  <c r="N68" i="3"/>
  <c r="M68" i="3"/>
  <c r="L68" i="3"/>
  <c r="K68" i="3"/>
  <c r="J68" i="3"/>
  <c r="N67" i="3"/>
  <c r="M67" i="3"/>
  <c r="L67" i="3"/>
  <c r="K67" i="3"/>
  <c r="J67" i="3"/>
  <c r="C57" i="3"/>
  <c r="C53" i="3"/>
  <c r="G52" i="3"/>
  <c r="N88" i="3" s="1"/>
  <c r="N152" i="3" s="1"/>
  <c r="C52" i="3"/>
  <c r="H45" i="3"/>
  <c r="C22" i="3"/>
  <c r="H42" i="3" s="1"/>
  <c r="C21" i="3"/>
  <c r="C18" i="3"/>
  <c r="C11" i="3"/>
  <c r="H24" i="3" s="1"/>
  <c r="I250" i="3" l="1"/>
  <c r="G269" i="3"/>
  <c r="I248" i="3"/>
  <c r="G259" i="3"/>
  <c r="K242" i="3"/>
  <c r="N245" i="3"/>
  <c r="L245" i="3"/>
  <c r="M175" i="3"/>
  <c r="L175" i="3"/>
  <c r="N175" i="3"/>
  <c r="K175" i="3"/>
  <c r="L194" i="3"/>
  <c r="K111" i="3"/>
  <c r="N114" i="3"/>
  <c r="M194" i="3"/>
  <c r="N194" i="3"/>
  <c r="K82" i="3"/>
  <c r="K87" i="3" s="1"/>
  <c r="K151" i="3" s="1"/>
  <c r="J114" i="3"/>
  <c r="K88" i="3"/>
  <c r="K152" i="3" s="1"/>
  <c r="K114" i="3"/>
  <c r="L114" i="3"/>
  <c r="L82" i="3"/>
  <c r="L83" i="3" s="1"/>
  <c r="L111" i="3"/>
  <c r="G110" i="3"/>
  <c r="I110" i="3" s="1"/>
  <c r="J83" i="3"/>
  <c r="J105" i="3" s="1"/>
  <c r="M111" i="3"/>
  <c r="J192" i="3"/>
  <c r="J111" i="3"/>
  <c r="J162" i="3"/>
  <c r="J163" i="3" s="1"/>
  <c r="H20" i="3"/>
  <c r="H22" i="3"/>
  <c r="C20" i="3"/>
  <c r="H23" i="3"/>
  <c r="K194" i="3"/>
  <c r="J194" i="3"/>
  <c r="N198" i="3"/>
  <c r="H21" i="3"/>
  <c r="C55" i="3"/>
  <c r="J86" i="3"/>
  <c r="L88" i="3"/>
  <c r="L152" i="3" s="1"/>
  <c r="K198" i="3"/>
  <c r="M88" i="3"/>
  <c r="M152" i="3" s="1"/>
  <c r="L198" i="3"/>
  <c r="J88" i="3"/>
  <c r="J152" i="3" s="1"/>
  <c r="M198" i="3"/>
  <c r="G268" i="3" l="1"/>
  <c r="G258" i="3"/>
  <c r="I247" i="3"/>
  <c r="G260" i="3"/>
  <c r="I251" i="3"/>
  <c r="G270" i="3"/>
  <c r="K162" i="3"/>
  <c r="K163" i="3" s="1"/>
  <c r="K86" i="3"/>
  <c r="K106" i="3" s="1"/>
  <c r="K83" i="3"/>
  <c r="K105" i="3" s="1"/>
  <c r="K156" i="3" s="1"/>
  <c r="L162" i="3"/>
  <c r="L163" i="3" s="1"/>
  <c r="L87" i="3"/>
  <c r="L151" i="3" s="1"/>
  <c r="L86" i="3"/>
  <c r="L122" i="3" s="1"/>
  <c r="M82" i="3"/>
  <c r="M162" i="3" s="1"/>
  <c r="M163" i="3" s="1"/>
  <c r="J110" i="3"/>
  <c r="J121" i="3"/>
  <c r="J158" i="3" s="1"/>
  <c r="J84" i="3"/>
  <c r="J98" i="3" s="1"/>
  <c r="J240" i="3" s="1"/>
  <c r="J106" i="3"/>
  <c r="J157" i="3" s="1"/>
  <c r="J122" i="3"/>
  <c r="L105" i="3"/>
  <c r="L121" i="3"/>
  <c r="F9" i="3"/>
  <c r="C26" i="3"/>
  <c r="F10" i="3" s="1"/>
  <c r="F11" i="3" s="1"/>
  <c r="I225" i="3" s="1"/>
  <c r="I226" i="3" s="1"/>
  <c r="L84" i="3"/>
  <c r="J156" i="3"/>
  <c r="G257" i="3" l="1"/>
  <c r="G267" i="3"/>
  <c r="I246" i="3"/>
  <c r="G261" i="3"/>
  <c r="G271" i="3"/>
  <c r="I252" i="3"/>
  <c r="M83" i="3"/>
  <c r="M121" i="3" s="1"/>
  <c r="K110" i="3"/>
  <c r="L110" i="3" s="1"/>
  <c r="K122" i="3"/>
  <c r="L159" i="3" s="1"/>
  <c r="K84" i="3"/>
  <c r="K98" i="3" s="1"/>
  <c r="K240" i="3" s="1"/>
  <c r="K121" i="3"/>
  <c r="K158" i="3" s="1"/>
  <c r="L106" i="3"/>
  <c r="L107" i="3" s="1"/>
  <c r="L98" i="3"/>
  <c r="L240" i="3" s="1"/>
  <c r="M87" i="3"/>
  <c r="M151" i="3" s="1"/>
  <c r="N82" i="3"/>
  <c r="N83" i="3" s="1"/>
  <c r="J107" i="3"/>
  <c r="M86" i="3"/>
  <c r="M122" i="3" s="1"/>
  <c r="M159" i="3" s="1"/>
  <c r="L123" i="3"/>
  <c r="K157" i="3"/>
  <c r="K107" i="3"/>
  <c r="J159" i="3"/>
  <c r="J123" i="3"/>
  <c r="H41" i="3"/>
  <c r="C51" i="3"/>
  <c r="C54" i="3" s="1"/>
  <c r="F12" i="3"/>
  <c r="L156" i="3"/>
  <c r="K159" i="3"/>
  <c r="M84" i="3" l="1"/>
  <c r="G256" i="3"/>
  <c r="G266" i="3"/>
  <c r="M105" i="3"/>
  <c r="M156" i="3" s="1"/>
  <c r="G272" i="3"/>
  <c r="G262" i="3"/>
  <c r="L157" i="3"/>
  <c r="M98" i="3"/>
  <c r="M240" i="3" s="1"/>
  <c r="L158" i="3"/>
  <c r="K123" i="3"/>
  <c r="N162" i="3"/>
  <c r="N163" i="3" s="1"/>
  <c r="N86" i="3"/>
  <c r="N106" i="3" s="1"/>
  <c r="N87" i="3"/>
  <c r="N151" i="3" s="1"/>
  <c r="M110" i="3"/>
  <c r="N84" i="3"/>
  <c r="M106" i="3"/>
  <c r="M157" i="3" s="1"/>
  <c r="H43" i="3"/>
  <c r="N121" i="3"/>
  <c r="N105" i="3"/>
  <c r="G56" i="3"/>
  <c r="G58" i="3" s="1"/>
  <c r="M158" i="3"/>
  <c r="M123" i="3"/>
  <c r="D36" i="3"/>
  <c r="H44" i="3"/>
  <c r="N98" i="3" l="1"/>
  <c r="N122" i="3"/>
  <c r="N159" i="3" s="1"/>
  <c r="N110" i="3"/>
  <c r="N157" i="3"/>
  <c r="M107" i="3"/>
  <c r="H46" i="3"/>
  <c r="C45" i="3" s="1"/>
  <c r="L90" i="3"/>
  <c r="L154" i="3" s="1"/>
  <c r="K90" i="3"/>
  <c r="K154" i="3" s="1"/>
  <c r="N90" i="3"/>
  <c r="N154" i="3" s="1"/>
  <c r="J90" i="3"/>
  <c r="M90" i="3"/>
  <c r="M154" i="3" s="1"/>
  <c r="M89" i="3"/>
  <c r="L89" i="3"/>
  <c r="C56" i="3"/>
  <c r="K89" i="3"/>
  <c r="C58" i="3"/>
  <c r="G61" i="3" s="1"/>
  <c r="N89" i="3"/>
  <c r="J89" i="3"/>
  <c r="N158" i="3"/>
  <c r="D34" i="3"/>
  <c r="D35" i="3"/>
  <c r="J209" i="3" s="1"/>
  <c r="D33" i="3"/>
  <c r="D32" i="3"/>
  <c r="N156" i="3"/>
  <c r="N107" i="3"/>
  <c r="N224" i="3" l="1"/>
  <c r="N226" i="3" s="1"/>
  <c r="N240" i="3"/>
  <c r="N123" i="3"/>
  <c r="K209" i="3"/>
  <c r="L209" i="3"/>
  <c r="N209" i="3"/>
  <c r="M209" i="3"/>
  <c r="K208" i="3"/>
  <c r="J208" i="3"/>
  <c r="J207" i="3"/>
  <c r="N153" i="3"/>
  <c r="N91" i="3"/>
  <c r="M153" i="3"/>
  <c r="M91" i="3"/>
  <c r="C42" i="3"/>
  <c r="L153" i="3"/>
  <c r="L91" i="3"/>
  <c r="C41" i="3"/>
  <c r="K153" i="3"/>
  <c r="K91" i="3"/>
  <c r="L193" i="3"/>
  <c r="K193" i="3"/>
  <c r="N193" i="3"/>
  <c r="J193" i="3"/>
  <c r="C43" i="3"/>
  <c r="M193" i="3"/>
  <c r="J112" i="3"/>
  <c r="J153" i="3"/>
  <c r="J91" i="3"/>
  <c r="C59" i="3"/>
  <c r="J113" i="3"/>
  <c r="K113" i="3" s="1"/>
  <c r="L113" i="3" s="1"/>
  <c r="M113" i="3" s="1"/>
  <c r="N113" i="3" s="1"/>
  <c r="J154" i="3"/>
  <c r="J210" i="3" l="1"/>
  <c r="K112" i="3"/>
  <c r="J115" i="3"/>
  <c r="J116" i="3" s="1"/>
  <c r="C44" i="3"/>
  <c r="I227" i="3" l="1"/>
  <c r="C235" i="3"/>
  <c r="L112" i="3"/>
  <c r="K115" i="3"/>
  <c r="K116" i="3" s="1"/>
  <c r="M112" i="3" l="1"/>
  <c r="L115" i="3"/>
  <c r="L116" i="3" s="1"/>
  <c r="N112" i="3" l="1"/>
  <c r="N115" i="3" s="1"/>
  <c r="N116" i="3" s="1"/>
  <c r="M115" i="3"/>
  <c r="M116" i="3" s="1"/>
  <c r="J93" i="3" l="1"/>
  <c r="K93" i="3"/>
  <c r="L93" i="3"/>
  <c r="M93" i="3"/>
  <c r="N93" i="3"/>
  <c r="J94" i="3"/>
  <c r="K94" i="3"/>
  <c r="L94" i="3"/>
  <c r="M94" i="3"/>
  <c r="N94" i="3"/>
  <c r="J95" i="3"/>
  <c r="K95" i="3"/>
  <c r="L95" i="3"/>
  <c r="M95" i="3"/>
  <c r="N95" i="3"/>
  <c r="J97" i="3"/>
  <c r="K97" i="3"/>
  <c r="L97" i="3"/>
  <c r="M97" i="3"/>
  <c r="N97" i="3"/>
  <c r="J127" i="3"/>
  <c r="K127" i="3"/>
  <c r="L127" i="3"/>
  <c r="M127" i="3"/>
  <c r="N127" i="3"/>
  <c r="K128" i="3"/>
  <c r="L128" i="3"/>
  <c r="M128" i="3"/>
  <c r="N128" i="3"/>
  <c r="J132" i="3"/>
  <c r="K132" i="3"/>
  <c r="L132" i="3"/>
  <c r="M132" i="3"/>
  <c r="N132" i="3"/>
  <c r="J133" i="3"/>
  <c r="K133" i="3"/>
  <c r="L133" i="3"/>
  <c r="M133" i="3"/>
  <c r="N133" i="3"/>
  <c r="J140" i="3"/>
  <c r="K140" i="3"/>
  <c r="L140" i="3"/>
  <c r="M140" i="3"/>
  <c r="N140" i="3"/>
  <c r="J141" i="3"/>
  <c r="K141" i="3"/>
  <c r="L141" i="3"/>
  <c r="M141" i="3"/>
  <c r="N141" i="3"/>
  <c r="J143" i="3"/>
  <c r="K143" i="3"/>
  <c r="L143" i="3"/>
  <c r="M143" i="3"/>
  <c r="N143" i="3"/>
  <c r="J145" i="3"/>
  <c r="K145" i="3"/>
  <c r="L145" i="3"/>
  <c r="M145" i="3"/>
  <c r="N145" i="3"/>
  <c r="J150" i="3"/>
  <c r="K150" i="3"/>
  <c r="L150" i="3"/>
  <c r="M150" i="3"/>
  <c r="N150" i="3"/>
  <c r="J160" i="3"/>
  <c r="K160" i="3"/>
  <c r="L160" i="3"/>
  <c r="M160" i="3"/>
  <c r="N160" i="3"/>
  <c r="J165" i="3"/>
  <c r="K165" i="3"/>
  <c r="L165" i="3"/>
  <c r="M165" i="3"/>
  <c r="N165" i="3"/>
  <c r="J168" i="3"/>
  <c r="K168" i="3"/>
  <c r="L168" i="3"/>
  <c r="M168" i="3"/>
  <c r="N168" i="3"/>
  <c r="J169" i="3"/>
  <c r="K169" i="3"/>
  <c r="L169" i="3"/>
  <c r="M169" i="3"/>
  <c r="N169" i="3"/>
  <c r="J171" i="3"/>
  <c r="K171" i="3"/>
  <c r="L171" i="3"/>
  <c r="M171" i="3"/>
  <c r="N171" i="3"/>
  <c r="J173" i="3"/>
  <c r="K173" i="3"/>
  <c r="L173" i="3"/>
  <c r="M173" i="3"/>
  <c r="N173" i="3"/>
  <c r="J191" i="3"/>
  <c r="K191" i="3"/>
  <c r="L191" i="3"/>
  <c r="M191" i="3"/>
  <c r="N191" i="3"/>
  <c r="K192" i="3"/>
  <c r="L192" i="3"/>
  <c r="M192" i="3"/>
  <c r="N192" i="3"/>
  <c r="J195" i="3"/>
  <c r="K195" i="3"/>
  <c r="L195" i="3"/>
  <c r="M195" i="3"/>
  <c r="N195" i="3"/>
  <c r="J200" i="3"/>
  <c r="K200" i="3"/>
  <c r="L200" i="3"/>
  <c r="M200" i="3"/>
  <c r="N200" i="3"/>
  <c r="J201" i="3"/>
  <c r="K201" i="3"/>
  <c r="L201" i="3"/>
  <c r="M201" i="3"/>
  <c r="N201" i="3"/>
  <c r="J202" i="3"/>
  <c r="K202" i="3"/>
  <c r="L202" i="3"/>
  <c r="M202" i="3"/>
  <c r="N202" i="3"/>
  <c r="J203" i="3"/>
  <c r="K203" i="3"/>
  <c r="L203" i="3"/>
  <c r="M203" i="3"/>
  <c r="N203" i="3"/>
  <c r="K207" i="3"/>
  <c r="L207" i="3"/>
  <c r="M207" i="3"/>
  <c r="N207" i="3"/>
  <c r="L208" i="3"/>
  <c r="M208" i="3"/>
  <c r="N208" i="3"/>
  <c r="K210" i="3"/>
  <c r="L210" i="3"/>
  <c r="M210" i="3"/>
  <c r="N210" i="3"/>
  <c r="J213" i="3"/>
  <c r="K213" i="3"/>
  <c r="L213" i="3"/>
  <c r="M213" i="3"/>
  <c r="N213" i="3"/>
  <c r="J214" i="3"/>
  <c r="K214" i="3"/>
  <c r="L214" i="3"/>
  <c r="M214" i="3"/>
  <c r="N214" i="3"/>
  <c r="J215" i="3"/>
  <c r="K215" i="3"/>
  <c r="L215" i="3"/>
  <c r="M215" i="3"/>
  <c r="N215" i="3"/>
  <c r="J217" i="3"/>
  <c r="K217" i="3"/>
  <c r="L217" i="3"/>
  <c r="M217" i="3"/>
  <c r="N217" i="3"/>
  <c r="J219" i="3"/>
  <c r="K219" i="3"/>
  <c r="L219" i="3"/>
  <c r="M219" i="3"/>
  <c r="N219" i="3"/>
  <c r="J220" i="3"/>
  <c r="K220" i="3"/>
  <c r="L220" i="3"/>
  <c r="M220" i="3"/>
  <c r="N220" i="3"/>
  <c r="N227" i="3"/>
  <c r="I228" i="3"/>
  <c r="N230" i="3"/>
  <c r="J241" i="3"/>
  <c r="K241" i="3"/>
  <c r="L241" i="3"/>
  <c r="M241" i="3"/>
  <c r="N241" i="3"/>
  <c r="J246" i="3"/>
  <c r="K246" i="3"/>
  <c r="L246" i="3"/>
  <c r="M246" i="3"/>
  <c r="N246" i="3"/>
  <c r="J247" i="3"/>
  <c r="K247" i="3"/>
  <c r="L247" i="3"/>
  <c r="M247" i="3"/>
  <c r="N247" i="3"/>
  <c r="J248" i="3"/>
  <c r="K248" i="3"/>
  <c r="L248" i="3"/>
  <c r="M248" i="3"/>
  <c r="N248" i="3"/>
  <c r="J249" i="3"/>
  <c r="K249" i="3"/>
  <c r="L249" i="3"/>
  <c r="M249" i="3"/>
  <c r="N249" i="3"/>
  <c r="J250" i="3"/>
  <c r="K250" i="3"/>
  <c r="L250" i="3"/>
  <c r="M250" i="3"/>
  <c r="N250" i="3"/>
  <c r="J251" i="3"/>
  <c r="K251" i="3"/>
  <c r="L251" i="3"/>
  <c r="M251" i="3"/>
  <c r="N251" i="3"/>
  <c r="J252" i="3"/>
  <c r="K252" i="3"/>
  <c r="L252" i="3"/>
  <c r="M252" i="3"/>
  <c r="N252" i="3"/>
  <c r="H256" i="3"/>
  <c r="I256" i="3"/>
  <c r="J256" i="3"/>
  <c r="K256" i="3"/>
  <c r="L256" i="3"/>
  <c r="M256" i="3"/>
  <c r="N256" i="3"/>
  <c r="H257" i="3"/>
  <c r="I257" i="3"/>
  <c r="J257" i="3"/>
  <c r="K257" i="3"/>
  <c r="L257" i="3"/>
  <c r="M257" i="3"/>
  <c r="N257" i="3"/>
  <c r="H258" i="3"/>
  <c r="I258" i="3"/>
  <c r="J258" i="3"/>
  <c r="K258" i="3"/>
  <c r="L258" i="3"/>
  <c r="M258" i="3"/>
  <c r="N258" i="3"/>
  <c r="H259" i="3"/>
  <c r="I259" i="3"/>
  <c r="J259" i="3"/>
  <c r="K259" i="3"/>
  <c r="L259" i="3"/>
  <c r="M259" i="3"/>
  <c r="N259" i="3"/>
  <c r="H260" i="3"/>
  <c r="I260" i="3"/>
  <c r="J260" i="3"/>
  <c r="K260" i="3"/>
  <c r="L260" i="3"/>
  <c r="M260" i="3"/>
  <c r="N260" i="3"/>
  <c r="H261" i="3"/>
  <c r="I261" i="3"/>
  <c r="J261" i="3"/>
  <c r="K261" i="3"/>
  <c r="L261" i="3"/>
  <c r="M261" i="3"/>
  <c r="N261" i="3"/>
  <c r="H262" i="3"/>
  <c r="I262" i="3"/>
  <c r="J262" i="3"/>
  <c r="K262" i="3"/>
  <c r="L262" i="3"/>
  <c r="M262" i="3"/>
  <c r="N262" i="3"/>
  <c r="H266" i="3"/>
  <c r="I266" i="3"/>
  <c r="J266" i="3"/>
  <c r="K266" i="3"/>
  <c r="L266" i="3"/>
  <c r="M266" i="3"/>
  <c r="N266" i="3"/>
  <c r="H267" i="3"/>
  <c r="I267" i="3"/>
  <c r="J267" i="3"/>
  <c r="K267" i="3"/>
  <c r="L267" i="3"/>
  <c r="M267" i="3"/>
  <c r="N267" i="3"/>
  <c r="H268" i="3"/>
  <c r="I268" i="3"/>
  <c r="J268" i="3"/>
  <c r="K268" i="3"/>
  <c r="L268" i="3"/>
  <c r="M268" i="3"/>
  <c r="N268" i="3"/>
  <c r="H269" i="3"/>
  <c r="I269" i="3"/>
  <c r="J269" i="3"/>
  <c r="K269" i="3"/>
  <c r="L269" i="3"/>
  <c r="M269" i="3"/>
  <c r="N269" i="3"/>
  <c r="H270" i="3"/>
  <c r="I270" i="3"/>
  <c r="J270" i="3"/>
  <c r="K270" i="3"/>
  <c r="L270" i="3"/>
  <c r="M270" i="3"/>
  <c r="N270" i="3"/>
  <c r="H271" i="3"/>
  <c r="I271" i="3"/>
  <c r="J271" i="3"/>
  <c r="K271" i="3"/>
  <c r="L271" i="3"/>
  <c r="M271" i="3"/>
  <c r="N271" i="3"/>
  <c r="H272" i="3"/>
  <c r="I272" i="3"/>
  <c r="J272" i="3"/>
  <c r="K272" i="3"/>
  <c r="L272" i="3"/>
  <c r="M272" i="3"/>
  <c r="N272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B230" authorId="0" shapeId="0" xr:uid="{4B1956C8-7895-49A2-8397-E50B7D0C6EC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IRR 计算用现金流行。I230 = 赞助商初始出资(负),J230:M230 = 0(持有期无分红),N230 = 2019 退出股权价值。中间年份必须是数字 0 而非空白 —— IRR() 会跳过空单元格,导致期数少算。</t>
        </r>
      </text>
    </comment>
    <comment ref="N249" authorId="0" shapeId="0" xr:uid="{18BC5F4D-8020-45EB-99E1-310505EE9D36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Base case: 2019 exit at 12.0x. Ties to IRR in I228.</t>
        </r>
      </text>
    </comment>
    <comment ref="K259" authorId="0" shapeId="0" xr:uid="{9B5DF382-36FC-4547-87EB-5CED2B7C5599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Base case: 12.0x exit multiple, EBITDA at base-case forecast.</t>
        </r>
      </text>
    </comment>
  </commentList>
</comments>
</file>

<file path=xl/sharedStrings.xml><?xml version="1.0" encoding="utf-8"?>
<sst xmlns="http://schemas.openxmlformats.org/spreadsheetml/2006/main" count="318" uniqueCount="207">
  <si>
    <t>LBO for PETM</t>
  </si>
  <si>
    <t>($ in Millions Except Per Share Data)</t>
  </si>
  <si>
    <t>Transaction Assumptions</t>
  </si>
  <si>
    <t>Company Name</t>
  </si>
  <si>
    <t>PetSmart, Inc.</t>
  </si>
  <si>
    <t>Transaction Close Date</t>
  </si>
  <si>
    <t>Base EBITDA Exit Multiple</t>
  </si>
  <si>
    <t>Circ.</t>
  </si>
  <si>
    <t>Current Share Price</t>
  </si>
  <si>
    <t>Equity Purchase Price</t>
  </si>
  <si>
    <t>Offer Premium</t>
  </si>
  <si>
    <t>Transaction Enterprise Value</t>
  </si>
  <si>
    <t>Advisory Fee %</t>
  </si>
  <si>
    <t>Offer Price Per Share</t>
  </si>
  <si>
    <t>EBITDA Purchase Multiple</t>
  </si>
  <si>
    <t>Financing Fee %</t>
  </si>
  <si>
    <t>% Debt Used</t>
  </si>
  <si>
    <t>Debt Used</t>
  </si>
  <si>
    <t>Legal &amp; Misc. Fees</t>
  </si>
  <si>
    <t>LIBOR Units</t>
  </si>
  <si>
    <t>Purchase Price Calculation</t>
  </si>
  <si>
    <t>Minimum Cash Balance</t>
  </si>
  <si>
    <t>Common Shares</t>
  </si>
  <si>
    <t>Diluted Shares</t>
  </si>
  <si>
    <t>Name</t>
  </si>
  <si>
    <t>Number</t>
  </si>
  <si>
    <t>Exercise Price</t>
  </si>
  <si>
    <t>Dilution</t>
  </si>
  <si>
    <t>Diluted Equity Value</t>
  </si>
  <si>
    <t>Tranche A</t>
  </si>
  <si>
    <t>Less: Cash &amp; Investment</t>
  </si>
  <si>
    <t>Tranche B</t>
  </si>
  <si>
    <t>Plus: Debt</t>
  </si>
  <si>
    <t>Tranche C</t>
  </si>
  <si>
    <t>Plus: Noncontrolling Interests</t>
  </si>
  <si>
    <t>Tranche D</t>
  </si>
  <si>
    <t>Plus: Preferred Stock</t>
  </si>
  <si>
    <t>RSUs</t>
  </si>
  <si>
    <t>Plus: Other Liabilities</t>
  </si>
  <si>
    <t>Total</t>
  </si>
  <si>
    <t>Enterprise Value</t>
  </si>
  <si>
    <t>Debt Assumptions</t>
  </si>
  <si>
    <t>Interest Rate</t>
  </si>
  <si>
    <t>Principal Repayment</t>
  </si>
  <si>
    <t>Amount</t>
  </si>
  <si>
    <t>Revolver</t>
  </si>
  <si>
    <t>L+225</t>
  </si>
  <si>
    <t>N/A</t>
  </si>
  <si>
    <t>Senior Secured Notes</t>
  </si>
  <si>
    <t>Term Loan B</t>
  </si>
  <si>
    <t>L+375</t>
  </si>
  <si>
    <t>Subordinated Note</t>
  </si>
  <si>
    <t>Total Debt Used</t>
  </si>
  <si>
    <t>Sources &amp; Uses</t>
  </si>
  <si>
    <t>Sources</t>
  </si>
  <si>
    <t>Uses</t>
  </si>
  <si>
    <t>Equity Value of Company</t>
  </si>
  <si>
    <t>Repay Existing Debt</t>
  </si>
  <si>
    <t>Advisory Fees</t>
  </si>
  <si>
    <t>Investor Equity</t>
  </si>
  <si>
    <t>Capitalized Financing Fees</t>
  </si>
  <si>
    <t>Total Sources</t>
  </si>
  <si>
    <t>Total Uses</t>
  </si>
  <si>
    <t>Goodwill Creation &amp; Balance Sheet Adjustments</t>
  </si>
  <si>
    <t>Goodwill Calculation</t>
  </si>
  <si>
    <t>Fixed Asset Write-Up</t>
  </si>
  <si>
    <t>PP&amp;E Write-Up %</t>
  </si>
  <si>
    <t>Less: Seller Book Value</t>
  </si>
  <si>
    <t>PP&amp;E Write-Up Amount</t>
  </si>
  <si>
    <t>Plus: Write-Off of Existing Goodwill</t>
  </si>
  <si>
    <t>Depreciation Period (Years)</t>
  </si>
  <si>
    <t>Total Allocation Purchase Premium</t>
  </si>
  <si>
    <t>Less: Write-Up of PP&amp;E</t>
  </si>
  <si>
    <t>Intangible Asset Write-Up</t>
  </si>
  <si>
    <t>Less: Write-Up of Intangibles</t>
  </si>
  <si>
    <t>Purchase Price to Allocate</t>
  </si>
  <si>
    <t>Less: Write-Down of DTL</t>
  </si>
  <si>
    <t>% Allocated to Intangibles</t>
  </si>
  <si>
    <t>Plus: New Deferred Tax Liability</t>
  </si>
  <si>
    <t>Intangibles Write-Up Amount</t>
  </si>
  <si>
    <t>Total Goodwill Created</t>
  </si>
  <si>
    <t>Amortization Period (Years)</t>
  </si>
  <si>
    <t>Financing Fees Amortization Period</t>
  </si>
  <si>
    <t>New Deferred Tax Liability</t>
  </si>
  <si>
    <t>Operating Assumptions</t>
  </si>
  <si>
    <t>Historical</t>
  </si>
  <si>
    <t>Transaction Adjustments</t>
  </si>
  <si>
    <t>Projected</t>
  </si>
  <si>
    <t>Debit</t>
  </si>
  <si>
    <t>Credit</t>
  </si>
  <si>
    <t>Revenue Growth %</t>
  </si>
  <si>
    <t>COGS % Revenue</t>
  </si>
  <si>
    <t>SG&amp;A % Revenue</t>
  </si>
  <si>
    <t>D&amp;A % Revenue</t>
  </si>
  <si>
    <t>Effective Tax Rate</t>
  </si>
  <si>
    <t>Inventory % COGS</t>
  </si>
  <si>
    <t>Prepaid Expenses &amp; Other % SG&amp;A</t>
  </si>
  <si>
    <t>Accounts Payable % COGS</t>
  </si>
  <si>
    <t>Other Current Liabilities % SG&amp;A</t>
  </si>
  <si>
    <t>CapEx % Revenue</t>
  </si>
  <si>
    <t>Income Statement</t>
  </si>
  <si>
    <t>Revenue</t>
  </si>
  <si>
    <t>Cost of Goods Sold</t>
  </si>
  <si>
    <t>Gross Profit</t>
  </si>
  <si>
    <t>SG&amp;A Expense</t>
  </si>
  <si>
    <t>Depreciation &amp; Amortization</t>
  </si>
  <si>
    <t>Depreciation of PP&amp;E Write-Up</t>
  </si>
  <si>
    <t>-</t>
  </si>
  <si>
    <t>New Intangibles Amortization</t>
  </si>
  <si>
    <t>Amortization of Financing Fees</t>
  </si>
  <si>
    <t>Operating Income</t>
  </si>
  <si>
    <t>Interest Income / (Expense)</t>
  </si>
  <si>
    <t>Pre-Tax Income</t>
  </si>
  <si>
    <t>Income Tax Provision</t>
  </si>
  <si>
    <t>Net Income</t>
  </si>
  <si>
    <t>EBITDA</t>
  </si>
  <si>
    <t>Balance Sheet</t>
  </si>
  <si>
    <t>Current Assets</t>
  </si>
  <si>
    <t>Cash &amp; Cash-Equivalents</t>
  </si>
  <si>
    <t>Merchandise Inventories</t>
  </si>
  <si>
    <t>Prepaid Expenses &amp; Other</t>
  </si>
  <si>
    <t>Total Current Assets</t>
  </si>
  <si>
    <t>Long-Term Assets</t>
  </si>
  <si>
    <t>Net PP&amp;E</t>
  </si>
  <si>
    <t>Goodwill</t>
  </si>
  <si>
    <t>Intangible Assets</t>
  </si>
  <si>
    <t>Other Assets</t>
  </si>
  <si>
    <t>Total Long-Term Assets</t>
  </si>
  <si>
    <t>Total Assets</t>
  </si>
  <si>
    <t>Current Liabilities</t>
  </si>
  <si>
    <t>Accounts Payable</t>
  </si>
  <si>
    <t>Other Current Liabilities</t>
  </si>
  <si>
    <t>Total Current Liabilities</t>
  </si>
  <si>
    <t>Long-Term Liabilities</t>
  </si>
  <si>
    <t>Existing Long-Term Debt</t>
  </si>
  <si>
    <t>0</t>
  </si>
  <si>
    <t>Long-Term Deferred Tax Liability</t>
  </si>
  <si>
    <t>Other Long-Term Liabilities</t>
  </si>
  <si>
    <t>Total Long-Term Liabilities</t>
  </si>
  <si>
    <t>Total Liabilities</t>
  </si>
  <si>
    <t>Shareholders' Equity</t>
  </si>
  <si>
    <t>Accumulated Other Comprehensive Income (AOCI)</t>
  </si>
  <si>
    <t>Common Stock &amp; APIC</t>
  </si>
  <si>
    <t>Treasury Stock</t>
  </si>
  <si>
    <t>Sponsor Common Equity</t>
  </si>
  <si>
    <t>Retained Earnings</t>
  </si>
  <si>
    <t>Total Shareholder's Equity</t>
  </si>
  <si>
    <t>Total Liabilities &amp; SE</t>
  </si>
  <si>
    <t>BALANCE CHECK</t>
  </si>
  <si>
    <t>Cash Flow Statement</t>
  </si>
  <si>
    <t>(+) Depreciation &amp; Amortization</t>
  </si>
  <si>
    <t>(+) Depreciation of PP&amp;E Write-Up</t>
  </si>
  <si>
    <t>(+) New Intangibles Amortization</t>
  </si>
  <si>
    <t>(+) Amortization of Financing Fees</t>
  </si>
  <si>
    <t>Changes in Operating Assets &amp; Liabilities:</t>
  </si>
  <si>
    <t>Accounts Payable &amp; Other</t>
  </si>
  <si>
    <t>Cash Flow from Operations</t>
  </si>
  <si>
    <t>(-) Capital Expenditures</t>
  </si>
  <si>
    <t>Cash Flow from Investing</t>
  </si>
  <si>
    <t>Cash Flow Available for Debt Repayment</t>
  </si>
  <si>
    <t>(-) Revolver</t>
  </si>
  <si>
    <t>(-) Senior Secured Notes</t>
  </si>
  <si>
    <t>(-) Term Loan B</t>
  </si>
  <si>
    <t>(-) Subordinated Note</t>
  </si>
  <si>
    <t>Total Cash Flow Used to Repay Debt</t>
  </si>
  <si>
    <t>Net Change in Cash &amp; Cash Equivalents</t>
  </si>
  <si>
    <t>Beginning Cash Balance</t>
  </si>
  <si>
    <t>Ending Cash Balance</t>
  </si>
  <si>
    <t>Debt &amp; Interest Schedules</t>
  </si>
  <si>
    <t>LIBOR Curve</t>
  </si>
  <si>
    <t>Fixed</t>
  </si>
  <si>
    <t>Interest Rate Assumptions</t>
  </si>
  <si>
    <t>Interest</t>
  </si>
  <si>
    <t>Interest Income (Expense) Calculations</t>
  </si>
  <si>
    <t>Cash</t>
  </si>
  <si>
    <t>Net Interest Income (Expense)</t>
  </si>
  <si>
    <t>Sources of Funds</t>
  </si>
  <si>
    <t>Less: Minimum Cash Balance</t>
  </si>
  <si>
    <t>Plus: Cash Flow Available for Debt Repay</t>
  </si>
  <si>
    <t>Subtotal Before Revolver</t>
  </si>
  <si>
    <t>Revolver Borrowing Required</t>
  </si>
  <si>
    <t>Total Sources of Funds</t>
  </si>
  <si>
    <t>Uses of Funds</t>
  </si>
  <si>
    <t>Mandatory Debt Repayment</t>
  </si>
  <si>
    <t>Mandatory Repayment Total</t>
  </si>
  <si>
    <t>Optional Debt Repayment</t>
  </si>
  <si>
    <t>Optional Repayment Total</t>
  </si>
  <si>
    <t>Cash Generated on Balance Sheet</t>
  </si>
  <si>
    <t>Total Uses of Funds</t>
  </si>
  <si>
    <t>Investor Returns</t>
  </si>
  <si>
    <t>EBITDA Multiple</t>
  </si>
  <si>
    <t>IRR</t>
  </si>
  <si>
    <t>IRR Cash Flows</t>
  </si>
  <si>
    <t>Sensitivity Analysis</t>
  </si>
  <si>
    <t>Sponsor Equity Invested ($mm)</t>
  </si>
  <si>
    <t>Base Exit EBITDA Multiple</t>
  </si>
  <si>
    <t>Multiple Step (+/-)</t>
  </si>
  <si>
    <t>Exit Year</t>
  </si>
  <si>
    <t>Exit-Year EBITDA</t>
  </si>
  <si>
    <t>Net Debt at Exit</t>
  </si>
  <si>
    <t>Holding Period (Years)</t>
  </si>
  <si>
    <t>Table 1  —  IRR by Exit Year and Exit EBITDA Multiple</t>
  </si>
  <si>
    <t>Multiple \ Year</t>
  </si>
  <si>
    <t>Table 2  —  IRR by Exit EBITDA Multiple and Exit-Year EBITDA (2019 exit)</t>
  </si>
  <si>
    <t>Multiple \ EBITDA</t>
  </si>
  <si>
    <t>Table 3  —  Money Multiple (MoM) by Exit EBITDA Multiple and Exit-Year EBITDA (2019 exit)</t>
  </si>
  <si>
    <t>Note: Tables 2 and 3 flex exit-year EBITDA only; the debt repayment path and net debt at exit are held at the base case. Table 1 is exact — the exit multiple affects terminal value only, not the operating or debt schedule.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</si>
</sst>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64" formatCode="#,##0.000"/>
    <numFmt numFmtId="165" formatCode="&quot;$&quot;#,##0.00"/>
    <numFmt numFmtId="166" formatCode="0.0%;\(0.0%\);&quot;-&quot;"/>
    <numFmt numFmtId="167" formatCode="#,##0.0;\(#,##0.0\);&quot;-&quot;"/>
    <numFmt numFmtId="168" formatCode="0.0&quot;x&quot;"/>
    <numFmt numFmtId="169" formatCode="mm/dd/yyyy"/>
    <numFmt numFmtId="170" formatCode="#,##0.00;\(#,##0.00\);&quot;-&quot;"/>
    <numFmt numFmtId="171" formatCode="0.000&quot;x&quot;"/>
    <numFmt numFmtId="172" formatCode="#,##0.0"/>
    <numFmt numFmtId="174" formatCode="\+0%;\-0%;0%"/>
    <numFmt numFmtId="175" formatCode="\+0%;\-0%;&quot;Base&quot;"/>
    <numFmt numFmtId="176" formatCode="0.00&quot;x&quot;;\(0.00&quot;x&quot;\);&quot;-&quot;"/>
  </numFmts>
  <fonts count="35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  <scheme val="minor"/>
    </font>
    <font>
      <sz val="10"/>
      <color theme="1"/>
      <name val="Calibri"/>
      <scheme val="minor"/>
    </font>
    <font>
      <sz val="10"/>
      <color rgb="FF0000FF"/>
      <name val="Calibri"/>
      <scheme val="minor"/>
    </font>
    <font>
      <b/>
      <sz val="10"/>
      <color theme="1"/>
      <name val="Calibri"/>
      <scheme val="minor"/>
    </font>
    <font>
      <sz val="10"/>
      <color rgb="FF212529"/>
      <name val="Calibri"/>
      <scheme val="minor"/>
    </font>
    <font>
      <b/>
      <sz val="10"/>
      <color rgb="FF0000FF"/>
      <name val="Calibri"/>
      <scheme val="minor"/>
    </font>
    <font>
      <i/>
      <sz val="10"/>
      <color theme="1"/>
      <name val="Calibri"/>
      <scheme val="minor"/>
    </font>
    <font>
      <b/>
      <sz val="10"/>
      <color rgb="FF212529"/>
      <name val="Calibri"/>
      <scheme val="minor"/>
    </font>
    <font>
      <b/>
      <sz val="18"/>
      <color rgb="FF1F3864"/>
      <name val="Calibri"/>
      <scheme val="minor"/>
    </font>
    <font>
      <i/>
      <sz val="10"/>
      <color rgb="FF595959"/>
      <name val="Calibri"/>
      <scheme val="minor"/>
    </font>
    <font>
      <b/>
      <sz val="10"/>
      <color rgb="FF1F3864"/>
      <name val="Calibri"/>
      <scheme val="minor"/>
    </font>
    <font>
      <b/>
      <sz val="11"/>
      <color rgb="FF000000"/>
      <name val="Calibri"/>
      <scheme val="minor"/>
    </font>
    <font>
      <sz val="10"/>
      <color rgb="FF000000"/>
      <name val="Calibri"/>
      <scheme val="minor"/>
    </font>
    <font>
      <b/>
      <sz val="10"/>
      <color rgb="FF000000"/>
      <name val="Calibri"/>
      <scheme val="minor"/>
    </font>
    <font>
      <i/>
      <sz val="10"/>
      <color rgb="FF000000"/>
      <name val="Calibri"/>
      <scheme val="minor"/>
    </font>
    <font>
      <i/>
      <sz val="10"/>
      <color rgb="FF0000FF"/>
      <name val="Calibri"/>
      <scheme val="minor"/>
    </font>
    <font>
      <i/>
      <sz val="10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8000"/>
      <name val="Calibri"/>
      <family val="2"/>
      <scheme val="minor"/>
    </font>
    <font>
      <sz val="11"/>
      <color rgb="FF0000FF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i/>
      <sz val="9"/>
      <color rgb="FF595959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00B05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1F38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51">
    <xf numFmtId="0" fontId="0" fillId="0" borderId="0" xfId="0"/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10" fontId="5" fillId="0" borderId="0" xfId="0" applyNumberFormat="1" applyFont="1" applyAlignment="1">
      <alignment horizontal="center" vertical="center" wrapText="1"/>
    </xf>
    <xf numFmtId="3" fontId="5" fillId="0" borderId="0" xfId="0" applyNumberFormat="1" applyFont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10" fontId="5" fillId="0" borderId="7" xfId="0" applyNumberFormat="1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4" fillId="0" borderId="0" xfId="0" applyFont="1"/>
    <xf numFmtId="0" fontId="11" fillId="0" borderId="0" xfId="0" applyFont="1" applyAlignment="1">
      <alignment vertical="center" wrapText="1"/>
    </xf>
    <xf numFmtId="0" fontId="12" fillId="0" borderId="0" xfId="0" applyFont="1" applyAlignment="1">
      <alignment vertical="center" wrapText="1"/>
    </xf>
    <xf numFmtId="0" fontId="3" fillId="3" borderId="0" xfId="0" applyFont="1" applyFill="1" applyAlignment="1">
      <alignment vertical="center" wrapText="1"/>
    </xf>
    <xf numFmtId="0" fontId="3" fillId="3" borderId="0" xfId="0" applyFont="1" applyFill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165" fontId="5" fillId="0" borderId="0" xfId="0" applyNumberFormat="1" applyFont="1" applyAlignment="1">
      <alignment horizontal="center" vertical="center" wrapText="1"/>
    </xf>
    <xf numFmtId="166" fontId="5" fillId="0" borderId="0" xfId="0" applyNumberFormat="1" applyFont="1" applyAlignment="1">
      <alignment horizontal="center" vertical="center" wrapText="1"/>
    </xf>
    <xf numFmtId="4" fontId="5" fillId="0" borderId="0" xfId="0" applyNumberFormat="1" applyFont="1" applyAlignment="1">
      <alignment horizontal="center" vertical="center" wrapText="1"/>
    </xf>
    <xf numFmtId="167" fontId="5" fillId="0" borderId="0" xfId="0" applyNumberFormat="1" applyFont="1" applyAlignment="1">
      <alignment horizontal="center" vertical="center" wrapText="1"/>
    </xf>
    <xf numFmtId="167" fontId="5" fillId="0" borderId="1" xfId="0" applyNumberFormat="1" applyFont="1" applyBorder="1" applyAlignment="1">
      <alignment horizontal="center" vertical="center" wrapText="1"/>
    </xf>
    <xf numFmtId="164" fontId="5" fillId="0" borderId="0" xfId="0" applyNumberFormat="1" applyFont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 wrapText="1"/>
    </xf>
    <xf numFmtId="166" fontId="5" fillId="0" borderId="1" xfId="0" applyNumberFormat="1" applyFont="1" applyBorder="1" applyAlignment="1">
      <alignment horizontal="center" vertical="center" wrapText="1"/>
    </xf>
    <xf numFmtId="1" fontId="5" fillId="0" borderId="0" xfId="0" applyNumberFormat="1" applyFont="1" applyAlignment="1">
      <alignment horizontal="center" vertical="center" wrapText="1"/>
    </xf>
    <xf numFmtId="166" fontId="5" fillId="0" borderId="8" xfId="0" applyNumberFormat="1" applyFont="1" applyBorder="1" applyAlignment="1">
      <alignment horizontal="center" vertical="center" wrapText="1"/>
    </xf>
    <xf numFmtId="166" fontId="5" fillId="0" borderId="7" xfId="0" applyNumberFormat="1" applyFont="1" applyBorder="1" applyAlignment="1">
      <alignment horizontal="center" vertical="center" wrapText="1"/>
    </xf>
    <xf numFmtId="167" fontId="5" fillId="0" borderId="7" xfId="0" applyNumberFormat="1" applyFont="1" applyBorder="1" applyAlignment="1">
      <alignment vertical="center" wrapText="1"/>
    </xf>
    <xf numFmtId="167" fontId="5" fillId="0" borderId="8" xfId="0" applyNumberFormat="1" applyFont="1" applyBorder="1" applyAlignment="1">
      <alignment horizontal="center" vertical="center" wrapText="1"/>
    </xf>
    <xf numFmtId="167" fontId="5" fillId="0" borderId="7" xfId="0" applyNumberFormat="1" applyFont="1" applyBorder="1" applyAlignment="1">
      <alignment horizontal="center" vertical="center" wrapText="1"/>
    </xf>
    <xf numFmtId="167" fontId="8" fillId="0" borderId="7" xfId="0" applyNumberFormat="1" applyFont="1" applyBorder="1" applyAlignment="1">
      <alignment horizontal="center" vertical="center" wrapText="1"/>
    </xf>
    <xf numFmtId="0" fontId="14" fillId="3" borderId="0" xfId="0" applyFont="1" applyFill="1" applyAlignment="1">
      <alignment vertical="center" wrapText="1"/>
    </xf>
    <xf numFmtId="0" fontId="15" fillId="0" borderId="0" xfId="0" applyFont="1" applyAlignment="1">
      <alignment vertical="center" wrapText="1"/>
    </xf>
    <xf numFmtId="0" fontId="15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169" fontId="15" fillId="0" borderId="0" xfId="0" applyNumberFormat="1" applyFont="1" applyAlignment="1">
      <alignment horizontal="center" vertical="center" wrapText="1"/>
    </xf>
    <xf numFmtId="165" fontId="15" fillId="0" borderId="0" xfId="0" applyNumberFormat="1" applyFont="1" applyAlignment="1">
      <alignment horizontal="center" vertical="center" wrapText="1"/>
    </xf>
    <xf numFmtId="167" fontId="15" fillId="0" borderId="0" xfId="0" applyNumberFormat="1" applyFont="1" applyAlignment="1">
      <alignment horizontal="center" vertical="center" wrapText="1"/>
    </xf>
    <xf numFmtId="166" fontId="15" fillId="0" borderId="0" xfId="0" applyNumberFormat="1" applyFont="1" applyAlignment="1">
      <alignment horizontal="center" vertical="center" wrapText="1"/>
    </xf>
    <xf numFmtId="10" fontId="15" fillId="0" borderId="0" xfId="0" applyNumberFormat="1" applyFont="1" applyAlignment="1">
      <alignment horizontal="center" vertical="center" wrapText="1"/>
    </xf>
    <xf numFmtId="168" fontId="15" fillId="0" borderId="0" xfId="0" applyNumberFormat="1" applyFont="1" applyAlignment="1">
      <alignment horizontal="center" vertical="center" wrapText="1"/>
    </xf>
    <xf numFmtId="0" fontId="14" fillId="3" borderId="0" xfId="0" applyFont="1" applyFill="1" applyAlignment="1">
      <alignment horizontal="center" vertical="center" wrapText="1"/>
    </xf>
    <xf numFmtId="4" fontId="15" fillId="0" borderId="0" xfId="0" applyNumberFormat="1" applyFont="1" applyAlignment="1">
      <alignment horizontal="center" vertical="center" wrapText="1"/>
    </xf>
    <xf numFmtId="0" fontId="16" fillId="0" borderId="0" xfId="0" applyFont="1" applyAlignment="1">
      <alignment vertical="center" wrapText="1"/>
    </xf>
    <xf numFmtId="0" fontId="16" fillId="0" borderId="1" xfId="0" applyFont="1" applyBorder="1" applyAlignment="1">
      <alignment horizontal="center" vertical="center" wrapText="1"/>
    </xf>
    <xf numFmtId="167" fontId="16" fillId="0" borderId="0" xfId="0" applyNumberFormat="1" applyFont="1" applyAlignment="1">
      <alignment horizontal="center" vertical="center" wrapText="1"/>
    </xf>
    <xf numFmtId="164" fontId="15" fillId="0" borderId="0" xfId="0" applyNumberFormat="1" applyFont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167" fontId="15" fillId="0" borderId="1" xfId="0" applyNumberFormat="1" applyFont="1" applyBorder="1" applyAlignment="1">
      <alignment horizontal="center" vertical="center" wrapText="1"/>
    </xf>
    <xf numFmtId="0" fontId="16" fillId="4" borderId="9" xfId="0" applyFont="1" applyFill="1" applyBorder="1" applyAlignment="1">
      <alignment horizontal="center" vertical="center" wrapText="1"/>
    </xf>
    <xf numFmtId="1" fontId="16" fillId="0" borderId="10" xfId="0" applyNumberFormat="1" applyFont="1" applyBorder="1" applyAlignment="1">
      <alignment horizontal="center" vertical="center" wrapText="1"/>
    </xf>
    <xf numFmtId="166" fontId="15" fillId="0" borderId="8" xfId="0" applyNumberFormat="1" applyFont="1" applyBorder="1" applyAlignment="1">
      <alignment horizontal="center" vertical="center" wrapText="1"/>
    </xf>
    <xf numFmtId="166" fontId="15" fillId="0" borderId="7" xfId="0" applyNumberFormat="1" applyFont="1" applyBorder="1" applyAlignment="1">
      <alignment horizontal="center" vertical="center" wrapText="1"/>
    </xf>
    <xf numFmtId="0" fontId="15" fillId="0" borderId="7" xfId="0" applyFont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1" fontId="16" fillId="0" borderId="11" xfId="0" applyNumberFormat="1" applyFont="1" applyBorder="1" applyAlignment="1">
      <alignment horizontal="center" vertical="center" wrapText="1"/>
    </xf>
    <xf numFmtId="167" fontId="15" fillId="0" borderId="8" xfId="0" applyNumberFormat="1" applyFont="1" applyBorder="1" applyAlignment="1">
      <alignment horizontal="center" vertical="center" wrapText="1"/>
    </xf>
    <xf numFmtId="167" fontId="15" fillId="2" borderId="8" xfId="0" applyNumberFormat="1" applyFont="1" applyFill="1" applyBorder="1" applyAlignment="1">
      <alignment horizontal="center" vertical="center" wrapText="1"/>
    </xf>
    <xf numFmtId="167" fontId="15" fillId="0" borderId="7" xfId="0" applyNumberFormat="1" applyFont="1" applyBorder="1" applyAlignment="1">
      <alignment horizontal="center" vertical="center" wrapText="1"/>
    </xf>
    <xf numFmtId="167" fontId="15" fillId="2" borderId="7" xfId="0" applyNumberFormat="1" applyFont="1" applyFill="1" applyBorder="1" applyAlignment="1">
      <alignment horizontal="center" vertical="center" wrapText="1"/>
    </xf>
    <xf numFmtId="167" fontId="16" fillId="0" borderId="7" xfId="0" applyNumberFormat="1" applyFont="1" applyBorder="1" applyAlignment="1">
      <alignment horizontal="center" vertical="center" wrapText="1"/>
    </xf>
    <xf numFmtId="167" fontId="16" fillId="2" borderId="7" xfId="0" applyNumberFormat="1" applyFont="1" applyFill="1" applyBorder="1" applyAlignment="1">
      <alignment horizontal="center" vertical="center" wrapText="1"/>
    </xf>
    <xf numFmtId="164" fontId="15" fillId="0" borderId="7" xfId="0" applyNumberFormat="1" applyFont="1" applyBorder="1" applyAlignment="1">
      <alignment horizontal="center" vertical="center" wrapText="1"/>
    </xf>
    <xf numFmtId="164" fontId="14" fillId="3" borderId="7" xfId="0" applyNumberFormat="1" applyFont="1" applyFill="1" applyBorder="1" applyAlignment="1">
      <alignment horizontal="center" vertical="center" wrapText="1"/>
    </xf>
    <xf numFmtId="0" fontId="15" fillId="0" borderId="8" xfId="0" applyFont="1" applyBorder="1" applyAlignment="1">
      <alignment horizontal="center" vertical="center" wrapText="1"/>
    </xf>
    <xf numFmtId="164" fontId="15" fillId="0" borderId="8" xfId="0" applyNumberFormat="1" applyFont="1" applyBorder="1" applyAlignment="1">
      <alignment horizontal="center" vertical="center" wrapText="1"/>
    </xf>
    <xf numFmtId="0" fontId="15" fillId="0" borderId="1" xfId="0" applyFont="1" applyBorder="1" applyAlignment="1">
      <alignment vertical="center" wrapText="1"/>
    </xf>
    <xf numFmtId="167" fontId="15" fillId="0" borderId="3" xfId="0" applyNumberFormat="1" applyFont="1" applyBorder="1" applyAlignment="1">
      <alignment horizontal="center" vertical="center" wrapText="1"/>
    </xf>
    <xf numFmtId="167" fontId="15" fillId="0" borderId="4" xfId="0" applyNumberFormat="1" applyFont="1" applyBorder="1" applyAlignment="1">
      <alignment horizontal="center" vertical="center" wrapText="1"/>
    </xf>
    <xf numFmtId="0" fontId="15" fillId="0" borderId="6" xfId="0" applyFont="1" applyBorder="1" applyAlignment="1">
      <alignment vertical="center" wrapText="1"/>
    </xf>
    <xf numFmtId="0" fontId="15" fillId="0" borderId="5" xfId="0" applyFont="1" applyBorder="1" applyAlignment="1">
      <alignment vertical="center" wrapText="1"/>
    </xf>
    <xf numFmtId="167" fontId="17" fillId="0" borderId="7" xfId="0" applyNumberFormat="1" applyFont="1" applyBorder="1" applyAlignment="1">
      <alignment horizontal="center" vertical="center" wrapText="1"/>
    </xf>
    <xf numFmtId="10" fontId="15" fillId="0" borderId="8" xfId="0" applyNumberFormat="1" applyFont="1" applyBorder="1" applyAlignment="1">
      <alignment horizontal="center" vertical="center" wrapText="1"/>
    </xf>
    <xf numFmtId="0" fontId="16" fillId="0" borderId="7" xfId="0" applyFont="1" applyBorder="1" applyAlignment="1">
      <alignment horizontal="center" vertical="center" wrapText="1"/>
    </xf>
    <xf numFmtId="10" fontId="15" fillId="0" borderId="7" xfId="0" applyNumberFormat="1" applyFont="1" applyBorder="1" applyAlignment="1">
      <alignment horizontal="center" vertical="center" wrapText="1"/>
    </xf>
    <xf numFmtId="0" fontId="14" fillId="3" borderId="9" xfId="0" applyFont="1" applyFill="1" applyBorder="1" applyAlignment="1">
      <alignment horizontal="center" vertical="center" wrapText="1"/>
    </xf>
    <xf numFmtId="0" fontId="15" fillId="2" borderId="7" xfId="0" applyFont="1" applyFill="1" applyBorder="1" applyAlignment="1">
      <alignment vertical="center" wrapText="1"/>
    </xf>
    <xf numFmtId="0" fontId="15" fillId="2" borderId="7" xfId="0" applyFont="1" applyFill="1" applyBorder="1" applyAlignment="1">
      <alignment horizontal="center" vertical="center" wrapText="1"/>
    </xf>
    <xf numFmtId="168" fontId="15" fillId="2" borderId="7" xfId="0" applyNumberFormat="1" applyFont="1" applyFill="1" applyBorder="1" applyAlignment="1">
      <alignment horizontal="center" vertical="center" wrapText="1"/>
    </xf>
    <xf numFmtId="166" fontId="15" fillId="2" borderId="7" xfId="0" applyNumberFormat="1" applyFont="1" applyFill="1" applyBorder="1" applyAlignment="1">
      <alignment horizontal="center" vertical="center" wrapText="1"/>
    </xf>
    <xf numFmtId="0" fontId="15" fillId="2" borderId="7" xfId="0" applyFont="1" applyFill="1" applyBorder="1"/>
    <xf numFmtId="167" fontId="15" fillId="2" borderId="7" xfId="0" applyNumberFormat="1" applyFont="1" applyFill="1" applyBorder="1"/>
    <xf numFmtId="0" fontId="15" fillId="0" borderId="0" xfId="0" applyFont="1"/>
    <xf numFmtId="167" fontId="15" fillId="0" borderId="0" xfId="0" applyNumberFormat="1" applyFont="1"/>
    <xf numFmtId="167" fontId="5" fillId="2" borderId="7" xfId="0" applyNumberFormat="1" applyFont="1" applyFill="1" applyBorder="1" applyAlignment="1">
      <alignment horizontal="center" vertical="center" wrapText="1"/>
    </xf>
    <xf numFmtId="167" fontId="18" fillId="0" borderId="7" xfId="0" applyNumberFormat="1" applyFont="1" applyBorder="1" applyAlignment="1">
      <alignment horizontal="center" vertical="center" wrapText="1"/>
    </xf>
    <xf numFmtId="170" fontId="16" fillId="0" borderId="0" xfId="0" applyNumberFormat="1" applyFont="1" applyAlignment="1">
      <alignment horizontal="center" vertical="center" wrapText="1"/>
    </xf>
    <xf numFmtId="170" fontId="15" fillId="2" borderId="7" xfId="0" applyNumberFormat="1" applyFont="1" applyFill="1" applyBorder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167" fontId="1" fillId="5" borderId="0" xfId="0" applyNumberFormat="1" applyFont="1" applyFill="1" applyAlignment="1">
      <alignment horizontal="center" vertical="center" wrapText="1"/>
    </xf>
    <xf numFmtId="170" fontId="16" fillId="2" borderId="7" xfId="0" applyNumberFormat="1" applyFont="1" applyFill="1" applyBorder="1" applyAlignment="1">
      <alignment horizontal="center" vertical="center" wrapText="1"/>
    </xf>
    <xf numFmtId="171" fontId="15" fillId="0" borderId="0" xfId="0" applyNumberFormat="1" applyFont="1" applyAlignment="1">
      <alignment horizontal="center" vertical="center" wrapText="1"/>
    </xf>
    <xf numFmtId="171" fontId="15" fillId="2" borderId="7" xfId="0" applyNumberFormat="1" applyFont="1" applyFill="1" applyBorder="1" applyAlignment="1">
      <alignment horizontal="center" vertical="center" wrapText="1"/>
    </xf>
    <xf numFmtId="2" fontId="15" fillId="2" borderId="7" xfId="0" applyNumberFormat="1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/>
    </xf>
    <xf numFmtId="167" fontId="15" fillId="2" borderId="3" xfId="0" applyNumberFormat="1" applyFont="1" applyFill="1" applyBorder="1" applyAlignment="1">
      <alignment horizontal="center" vertical="center" wrapText="1"/>
    </xf>
    <xf numFmtId="167" fontId="15" fillId="2" borderId="0" xfId="0" applyNumberFormat="1" applyFont="1" applyFill="1" applyAlignment="1">
      <alignment horizontal="center" vertical="center" wrapText="1"/>
    </xf>
    <xf numFmtId="167" fontId="17" fillId="2" borderId="7" xfId="0" applyNumberFormat="1" applyFont="1" applyFill="1" applyBorder="1" applyAlignment="1">
      <alignment horizontal="center" vertical="center" wrapText="1"/>
    </xf>
    <xf numFmtId="164" fontId="15" fillId="2" borderId="0" xfId="0" applyNumberFormat="1" applyFont="1" applyFill="1" applyAlignment="1">
      <alignment vertical="center" wrapText="1"/>
    </xf>
    <xf numFmtId="164" fontId="14" fillId="2" borderId="0" xfId="0" applyNumberFormat="1" applyFont="1" applyFill="1" applyAlignment="1">
      <alignment vertical="center" wrapText="1"/>
    </xf>
    <xf numFmtId="1" fontId="16" fillId="2" borderId="10" xfId="0" applyNumberFormat="1" applyFont="1" applyFill="1" applyBorder="1" applyAlignment="1">
      <alignment horizontal="center" vertical="center" wrapText="1"/>
    </xf>
    <xf numFmtId="164" fontId="15" fillId="2" borderId="7" xfId="0" applyNumberFormat="1" applyFont="1" applyFill="1" applyBorder="1" applyAlignment="1">
      <alignment horizontal="center" vertical="center" wrapText="1"/>
    </xf>
    <xf numFmtId="164" fontId="14" fillId="2" borderId="7" xfId="0" applyNumberFormat="1" applyFont="1" applyFill="1" applyBorder="1" applyAlignment="1">
      <alignment horizontal="center" vertical="center" wrapText="1"/>
    </xf>
    <xf numFmtId="10" fontId="5" fillId="2" borderId="8" xfId="0" applyNumberFormat="1" applyFont="1" applyFill="1" applyBorder="1" applyAlignment="1">
      <alignment horizontal="center" vertical="center" wrapText="1"/>
    </xf>
    <xf numFmtId="0" fontId="14" fillId="2" borderId="9" xfId="0" applyFont="1" applyFill="1" applyBorder="1" applyAlignment="1">
      <alignment horizontal="center" vertical="center" wrapText="1"/>
    </xf>
    <xf numFmtId="170" fontId="22" fillId="0" borderId="7" xfId="0" applyNumberFormat="1" applyFont="1" applyBorder="1" applyAlignment="1">
      <alignment horizontal="center" vertical="center" wrapText="1"/>
    </xf>
    <xf numFmtId="170" fontId="23" fillId="0" borderId="7" xfId="0" applyNumberFormat="1" applyFont="1" applyBorder="1" applyAlignment="1">
      <alignment horizontal="center" vertical="center" wrapText="1"/>
    </xf>
    <xf numFmtId="167" fontId="22" fillId="0" borderId="7" xfId="0" applyNumberFormat="1" applyFont="1" applyBorder="1" applyAlignment="1">
      <alignment horizontal="center" vertical="center" wrapText="1"/>
    </xf>
    <xf numFmtId="167" fontId="23" fillId="0" borderId="7" xfId="0" applyNumberFormat="1" applyFont="1" applyBorder="1" applyAlignment="1">
      <alignment horizontal="center" vertical="center" wrapText="1"/>
    </xf>
    <xf numFmtId="167" fontId="22" fillId="0" borderId="2" xfId="0" applyNumberFormat="1" applyFont="1" applyBorder="1" applyAlignment="1">
      <alignment horizontal="center" vertical="center" wrapText="1"/>
    </xf>
    <xf numFmtId="167" fontId="22" fillId="0" borderId="0" xfId="0" applyNumberFormat="1" applyFont="1" applyAlignment="1">
      <alignment horizontal="center" vertical="center" wrapText="1"/>
    </xf>
    <xf numFmtId="167" fontId="22" fillId="0" borderId="3" xfId="0" applyNumberFormat="1" applyFont="1" applyBorder="1" applyAlignment="1">
      <alignment horizontal="center" vertical="center" wrapText="1"/>
    </xf>
    <xf numFmtId="167" fontId="22" fillId="0" borderId="4" xfId="0" applyNumberFormat="1" applyFont="1" applyBorder="1" applyAlignment="1">
      <alignment horizontal="center" vertical="center" wrapText="1"/>
    </xf>
    <xf numFmtId="10" fontId="22" fillId="2" borderId="7" xfId="1" applyNumberFormat="1" applyFont="1" applyFill="1" applyBorder="1" applyAlignment="1">
      <alignment horizontal="center" vertical="center" wrapText="1"/>
    </xf>
    <xf numFmtId="164" fontId="23" fillId="0" borderId="0" xfId="0" applyNumberFormat="1" applyFont="1" applyAlignment="1">
      <alignment horizontal="center" vertical="center" wrapText="1"/>
    </xf>
    <xf numFmtId="0" fontId="16" fillId="4" borderId="9" xfId="0" applyFont="1" applyFill="1" applyBorder="1" applyAlignment="1">
      <alignment horizontal="center" vertical="center" wrapText="1"/>
    </xf>
    <xf numFmtId="0" fontId="16" fillId="4" borderId="9" xfId="0" applyFont="1" applyFill="1" applyBorder="1" applyAlignment="1">
      <alignment horizontal="center"/>
    </xf>
    <xf numFmtId="164" fontId="16" fillId="2" borderId="9" xfId="0" applyNumberFormat="1" applyFont="1" applyFill="1" applyBorder="1" applyAlignment="1">
      <alignment horizontal="center" vertical="center" wrapText="1"/>
    </xf>
    <xf numFmtId="164" fontId="16" fillId="2" borderId="9" xfId="0" applyNumberFormat="1" applyFont="1" applyFill="1" applyBorder="1" applyAlignment="1">
      <alignment horizontal="center"/>
    </xf>
    <xf numFmtId="164" fontId="16" fillId="4" borderId="9" xfId="0" applyNumberFormat="1" applyFont="1" applyFill="1" applyBorder="1" applyAlignment="1">
      <alignment horizontal="center" vertical="center" wrapText="1"/>
    </xf>
    <xf numFmtId="164" fontId="16" fillId="4" borderId="9" xfId="0" applyNumberFormat="1" applyFont="1" applyFill="1" applyBorder="1" applyAlignment="1">
      <alignment horizontal="center"/>
    </xf>
    <xf numFmtId="0" fontId="3" fillId="3" borderId="0" xfId="0" applyFont="1" applyFill="1" applyAlignment="1">
      <alignment horizontal="center" vertical="center" wrapText="1"/>
    </xf>
    <xf numFmtId="0" fontId="14" fillId="3" borderId="0" xfId="0" applyFont="1" applyFill="1" applyAlignment="1">
      <alignment horizontal="center" vertical="center"/>
    </xf>
    <xf numFmtId="0" fontId="25" fillId="3" borderId="0" xfId="0" applyFont="1" applyFill="1" applyAlignment="1">
      <alignment horizontal="center"/>
    </xf>
    <xf numFmtId="0" fontId="26" fillId="0" borderId="0" xfId="0" applyFont="1"/>
    <xf numFmtId="172" fontId="27" fillId="0" borderId="0" xfId="0" applyNumberFormat="1" applyFont="1" applyAlignment="1">
      <alignment horizontal="center"/>
    </xf>
    <xf numFmtId="168" fontId="27" fillId="0" borderId="0" xfId="0" applyNumberFormat="1" applyFont="1" applyAlignment="1">
      <alignment horizontal="center"/>
    </xf>
    <xf numFmtId="168" fontId="28" fillId="0" borderId="0" xfId="0" applyNumberFormat="1" applyFont="1" applyAlignment="1">
      <alignment horizontal="center"/>
    </xf>
    <xf numFmtId="0" fontId="29" fillId="0" borderId="0" xfId="0" applyFont="1"/>
    <xf numFmtId="1" fontId="24" fillId="0" borderId="0" xfId="0" applyNumberFormat="1" applyFont="1" applyAlignment="1">
      <alignment horizontal="center"/>
    </xf>
    <xf numFmtId="172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29" fillId="4" borderId="0" xfId="0" applyFont="1" applyFill="1"/>
    <xf numFmtId="0" fontId="0" fillId="3" borderId="0" xfId="0" applyFill="1"/>
    <xf numFmtId="0" fontId="0" fillId="4" borderId="0" xfId="0" applyFill="1"/>
    <xf numFmtId="0" fontId="30" fillId="4" borderId="12" xfId="0" applyFont="1" applyFill="1" applyBorder="1" applyAlignment="1">
      <alignment horizontal="center"/>
    </xf>
    <xf numFmtId="1" fontId="24" fillId="4" borderId="12" xfId="0" applyNumberFormat="1" applyFont="1" applyFill="1" applyBorder="1" applyAlignment="1">
      <alignment horizontal="center"/>
    </xf>
    <xf numFmtId="168" fontId="24" fillId="4" borderId="12" xfId="0" applyNumberFormat="1" applyFont="1" applyFill="1" applyBorder="1" applyAlignment="1">
      <alignment horizontal="center"/>
    </xf>
    <xf numFmtId="166" fontId="0" fillId="0" borderId="12" xfId="0" applyNumberFormat="1" applyBorder="1" applyAlignment="1">
      <alignment horizontal="center"/>
    </xf>
    <xf numFmtId="174" fontId="24" fillId="4" borderId="12" xfId="0" applyNumberFormat="1" applyFont="1" applyFill="1" applyBorder="1" applyAlignment="1">
      <alignment horizontal="center"/>
    </xf>
    <xf numFmtId="175" fontId="24" fillId="4" borderId="12" xfId="0" applyNumberFormat="1" applyFont="1" applyFill="1" applyBorder="1" applyAlignment="1">
      <alignment horizontal="center"/>
    </xf>
    <xf numFmtId="176" fontId="0" fillId="0" borderId="12" xfId="0" applyNumberFormat="1" applyBorder="1" applyAlignment="1">
      <alignment horizontal="center"/>
    </xf>
    <xf numFmtId="0" fontId="32" fillId="0" borderId="0" xfId="0" applyFont="1"/>
    <xf numFmtId="166" fontId="24" fillId="2" borderId="12" xfId="0" applyNumberFormat="1" applyFont="1" applyFill="1" applyBorder="1" applyAlignment="1">
      <alignment horizontal="center"/>
    </xf>
    <xf numFmtId="166" fontId="31" fillId="2" borderId="12" xfId="0" applyNumberFormat="1" applyFont="1" applyFill="1" applyBorder="1" applyAlignment="1">
      <alignment horizontal="center"/>
    </xf>
    <xf numFmtId="176" fontId="24" fillId="2" borderId="12" xfId="0" applyNumberFormat="1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microsoft.com/office/2017/10/relationships/person" Target="persons/person0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ersons/person0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41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3A686A1-2399-41DC-9293-BAE205068053}">
  <we:reference id="wa200009404" version="1.0.0.8" store="en-US" storeType="OMEX"/>
  <we:alternateReferences>
    <we:reference id="wa200009404" version="1.0.0.8" store="WA200009404" storeType="OMEX"/>
  </we:alternateReferences>
  <we:properties>
    <we:property name="claude.fileId" value="&quot;84aa7fef-1ddb-43d9-a253-5879de84959b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8B149-F875-4F9A-BAC3-964D0DD2A2A1}">
  <dimension ref="A1:N274"/>
  <sheetViews>
    <sheetView showGridLines="0" tabSelected="1" topLeftCell="A227" zoomScale="60" zoomScaleNormal="60" workbookViewId="0">
      <pane xSplit="3" topLeftCell="D1" activePane="topRight" state="frozen"/>
      <selection activeCell="A8" sqref="A8"/>
      <selection pane="topRight" activeCell="G237" sqref="G237"/>
    </sheetView>
  </sheetViews>
  <sheetFormatPr defaultRowHeight="14.4" x14ac:dyDescent="0.3"/>
  <cols>
    <col min="1" max="1" width="3.33203125" customWidth="1"/>
    <col min="2" max="2" width="46.33203125" customWidth="1"/>
    <col min="3" max="6" width="15.21875" customWidth="1"/>
    <col min="7" max="7" width="19.109375" customWidth="1"/>
    <col min="8" max="14" width="15.21875" customWidth="1"/>
  </cols>
  <sheetData>
    <row r="1" spans="1:14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63" customHeight="1" x14ac:dyDescent="0.3">
      <c r="A2" s="1"/>
      <c r="B2" s="16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ht="48.6" customHeight="1" x14ac:dyDescent="0.3">
      <c r="A4" s="1"/>
      <c r="B4" s="17" t="s">
        <v>1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19.95" customHeight="1" x14ac:dyDescent="0.3">
      <c r="A6" s="1"/>
      <c r="B6" s="18" t="s">
        <v>2</v>
      </c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</row>
    <row r="7" spans="1:14" x14ac:dyDescent="0.3">
      <c r="A7" s="1"/>
      <c r="B7" s="1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</row>
    <row r="8" spans="1:14" ht="48.6" customHeight="1" x14ac:dyDescent="0.3">
      <c r="A8" s="1"/>
      <c r="B8" s="20" t="s">
        <v>3</v>
      </c>
      <c r="C8" s="38" t="s">
        <v>4</v>
      </c>
      <c r="D8" s="38"/>
      <c r="E8" s="39" t="s">
        <v>5</v>
      </c>
      <c r="F8" s="40">
        <v>41987</v>
      </c>
      <c r="G8" s="38"/>
      <c r="H8" s="39" t="s">
        <v>6</v>
      </c>
      <c r="I8" s="45">
        <v>12</v>
      </c>
      <c r="J8" s="37"/>
      <c r="K8" s="37" t="s">
        <v>7</v>
      </c>
      <c r="L8" s="37">
        <v>1</v>
      </c>
      <c r="M8" s="37"/>
      <c r="N8" s="37"/>
    </row>
    <row r="9" spans="1:14" ht="43.2" customHeight="1" x14ac:dyDescent="0.3">
      <c r="A9" s="1"/>
      <c r="B9" s="2" t="s">
        <v>8</v>
      </c>
      <c r="C9" s="21">
        <v>68.91</v>
      </c>
      <c r="D9" s="38"/>
      <c r="E9" s="38" t="s">
        <v>9</v>
      </c>
      <c r="F9" s="42">
        <f>C20</f>
        <v>5250.1598714999991</v>
      </c>
      <c r="G9" s="38"/>
      <c r="H9" s="38"/>
      <c r="I9" s="38"/>
      <c r="J9" s="37"/>
      <c r="K9" s="37"/>
      <c r="L9" s="37"/>
      <c r="M9" s="37"/>
      <c r="N9" s="37"/>
    </row>
    <row r="10" spans="1:14" ht="39.6" customHeight="1" x14ac:dyDescent="0.3">
      <c r="A10" s="1"/>
      <c r="B10" s="2" t="s">
        <v>10</v>
      </c>
      <c r="C10" s="22">
        <v>0.15</v>
      </c>
      <c r="D10" s="38"/>
      <c r="E10" s="38" t="s">
        <v>11</v>
      </c>
      <c r="F10" s="42">
        <f>C26</f>
        <v>6208.1598714999991</v>
      </c>
      <c r="G10" s="38"/>
      <c r="H10" s="38" t="s">
        <v>12</v>
      </c>
      <c r="I10" s="3">
        <v>3.0000000000000001E-3</v>
      </c>
      <c r="J10" s="37"/>
      <c r="K10" s="37"/>
      <c r="L10" s="37"/>
      <c r="M10" s="37"/>
      <c r="N10" s="37"/>
    </row>
    <row r="11" spans="1:14" ht="43.2" customHeight="1" x14ac:dyDescent="0.3">
      <c r="A11" s="1"/>
      <c r="B11" s="2" t="s">
        <v>13</v>
      </c>
      <c r="C11" s="41">
        <f>C9*(1+C10)</f>
        <v>79.246499999999983</v>
      </c>
      <c r="D11" s="38"/>
      <c r="E11" s="38" t="s">
        <v>14</v>
      </c>
      <c r="F11" s="96">
        <f>F10/F98</f>
        <v>11.915853880038386</v>
      </c>
      <c r="G11" s="38"/>
      <c r="H11" s="38" t="s">
        <v>15</v>
      </c>
      <c r="I11" s="3">
        <v>1.4999999999999999E-2</v>
      </c>
      <c r="J11" s="37"/>
      <c r="K11" s="37"/>
      <c r="L11" s="37"/>
      <c r="M11" s="37"/>
      <c r="N11" s="37"/>
    </row>
    <row r="12" spans="1:14" ht="43.2" customHeight="1" x14ac:dyDescent="0.3">
      <c r="A12" s="1"/>
      <c r="B12" s="2" t="s">
        <v>16</v>
      </c>
      <c r="C12" s="22">
        <v>0.72</v>
      </c>
      <c r="D12" s="38"/>
      <c r="E12" s="38" t="s">
        <v>17</v>
      </c>
      <c r="F12" s="42">
        <f>F9*C12</f>
        <v>3780.1151074799991</v>
      </c>
      <c r="G12" s="38"/>
      <c r="H12" s="38" t="s">
        <v>18</v>
      </c>
      <c r="I12" s="24">
        <v>15</v>
      </c>
      <c r="J12" s="37"/>
      <c r="K12" s="37"/>
      <c r="L12" s="37"/>
      <c r="M12" s="37"/>
      <c r="N12" s="37"/>
    </row>
    <row r="13" spans="1:14" x14ac:dyDescent="0.3">
      <c r="A13" s="1"/>
      <c r="B13" s="2"/>
      <c r="C13" s="38"/>
      <c r="D13" s="38"/>
      <c r="E13" s="38"/>
      <c r="F13" s="38"/>
      <c r="G13" s="38"/>
      <c r="H13" s="38"/>
      <c r="I13" s="38"/>
      <c r="J13" s="37"/>
      <c r="K13" s="37"/>
      <c r="L13" s="37"/>
      <c r="M13" s="37"/>
      <c r="N13" s="37"/>
    </row>
    <row r="14" spans="1:14" ht="28.8" customHeight="1" x14ac:dyDescent="0.3">
      <c r="A14" s="1"/>
      <c r="B14" s="2"/>
      <c r="C14" s="38"/>
      <c r="D14" s="38"/>
      <c r="E14" s="38"/>
      <c r="F14" s="38"/>
      <c r="G14" s="38"/>
      <c r="H14" s="39" t="s">
        <v>19</v>
      </c>
      <c r="I14" s="4">
        <v>10000</v>
      </c>
      <c r="J14" s="37"/>
      <c r="K14" s="37"/>
      <c r="L14" s="37"/>
      <c r="M14" s="37"/>
      <c r="N14" s="37"/>
    </row>
    <row r="15" spans="1:14" ht="48.6" customHeight="1" x14ac:dyDescent="0.3">
      <c r="A15" s="1"/>
      <c r="B15" s="19" t="s">
        <v>20</v>
      </c>
      <c r="C15" s="46"/>
      <c r="D15" s="46"/>
      <c r="E15" s="46"/>
      <c r="F15" s="46"/>
      <c r="G15" s="46"/>
      <c r="H15" s="93" t="s">
        <v>21</v>
      </c>
      <c r="I15" s="94">
        <v>50</v>
      </c>
      <c r="J15" s="36"/>
      <c r="K15" s="36"/>
      <c r="L15" s="36"/>
      <c r="M15" s="36"/>
      <c r="N15" s="36"/>
    </row>
    <row r="16" spans="1:14" x14ac:dyDescent="0.3">
      <c r="A16" s="1"/>
      <c r="B16" s="2"/>
      <c r="C16" s="38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</row>
    <row r="17" spans="1:14" ht="28.8" customHeight="1" x14ac:dyDescent="0.3">
      <c r="A17" s="1"/>
      <c r="B17" s="20" t="s">
        <v>22</v>
      </c>
      <c r="C17" s="23">
        <v>63.79</v>
      </c>
      <c r="D17" s="37"/>
      <c r="E17" s="48" t="s">
        <v>23</v>
      </c>
      <c r="F17" s="37"/>
      <c r="G17" s="37"/>
      <c r="H17" s="37"/>
      <c r="I17" s="37"/>
      <c r="J17" s="37"/>
      <c r="K17" s="37"/>
      <c r="L17" s="37"/>
      <c r="M17" s="37"/>
      <c r="N17" s="37"/>
    </row>
    <row r="18" spans="1:14" ht="28.8" customHeight="1" x14ac:dyDescent="0.3">
      <c r="A18" s="1"/>
      <c r="B18" s="2" t="s">
        <v>23</v>
      </c>
      <c r="C18" s="47">
        <f>C17+H25</f>
        <v>66.251000000000005</v>
      </c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</row>
    <row r="19" spans="1:14" ht="28.8" customHeight="1" x14ac:dyDescent="0.3">
      <c r="A19" s="1"/>
      <c r="B19" s="2"/>
      <c r="C19" s="38"/>
      <c r="D19" s="37"/>
      <c r="E19" s="49" t="s">
        <v>24</v>
      </c>
      <c r="F19" s="49" t="s">
        <v>25</v>
      </c>
      <c r="G19" s="49" t="s">
        <v>26</v>
      </c>
      <c r="H19" s="49" t="s">
        <v>27</v>
      </c>
      <c r="I19" s="37"/>
      <c r="J19" s="37"/>
      <c r="K19" s="37"/>
      <c r="L19" s="37"/>
      <c r="M19" s="37"/>
      <c r="N19" s="37"/>
    </row>
    <row r="20" spans="1:14" ht="43.2" customHeight="1" x14ac:dyDescent="0.3">
      <c r="A20" s="1"/>
      <c r="B20" s="6" t="s">
        <v>28</v>
      </c>
      <c r="C20" s="50">
        <f>C18*C11</f>
        <v>5250.1598714999991</v>
      </c>
      <c r="D20" s="37"/>
      <c r="E20" s="38" t="s">
        <v>29</v>
      </c>
      <c r="F20" s="26">
        <v>0.6</v>
      </c>
      <c r="G20" s="21">
        <v>20</v>
      </c>
      <c r="H20" s="51">
        <f>-(F20*G20/$C$11-F20)</f>
        <v>0.44857375404591993</v>
      </c>
      <c r="I20" s="37"/>
      <c r="J20" s="37"/>
      <c r="K20" s="37"/>
      <c r="L20" s="37"/>
      <c r="M20" s="37"/>
      <c r="N20" s="37"/>
    </row>
    <row r="21" spans="1:14" ht="57.6" customHeight="1" x14ac:dyDescent="0.3">
      <c r="A21" s="1"/>
      <c r="B21" s="2" t="s">
        <v>30</v>
      </c>
      <c r="C21" s="42">
        <f>-F104</f>
        <v>-192</v>
      </c>
      <c r="D21" s="37"/>
      <c r="E21" s="38" t="s">
        <v>31</v>
      </c>
      <c r="F21" s="26">
        <v>1.1000000000000001</v>
      </c>
      <c r="G21" s="21">
        <v>30</v>
      </c>
      <c r="H21" s="51">
        <f>-(F21*G21/$C$11-F21)</f>
        <v>0.68357782362627995</v>
      </c>
      <c r="I21" s="37"/>
      <c r="J21" s="37"/>
      <c r="K21" s="37"/>
      <c r="L21" s="37"/>
      <c r="M21" s="37"/>
      <c r="N21" s="37"/>
    </row>
    <row r="22" spans="1:14" ht="28.8" customHeight="1" x14ac:dyDescent="0.3">
      <c r="A22" s="1"/>
      <c r="B22" s="2" t="s">
        <v>32</v>
      </c>
      <c r="C22" s="42">
        <f>F126</f>
        <v>1150</v>
      </c>
      <c r="D22" s="37"/>
      <c r="E22" s="38" t="s">
        <v>33</v>
      </c>
      <c r="F22" s="26">
        <v>0.9</v>
      </c>
      <c r="G22" s="21">
        <v>40</v>
      </c>
      <c r="H22" s="51">
        <f>-(F22*G22/$C$11-F22)</f>
        <v>0.44572126213775998</v>
      </c>
      <c r="I22" s="37"/>
      <c r="J22" s="37"/>
      <c r="K22" s="37"/>
      <c r="L22" s="37"/>
      <c r="M22" s="37"/>
      <c r="N22" s="37"/>
    </row>
    <row r="23" spans="1:14" ht="57.6" customHeight="1" x14ac:dyDescent="0.3">
      <c r="A23" s="1"/>
      <c r="B23" s="2" t="s">
        <v>34</v>
      </c>
      <c r="C23" s="24">
        <v>0</v>
      </c>
      <c r="D23" s="37"/>
      <c r="E23" s="38" t="s">
        <v>35</v>
      </c>
      <c r="F23" s="26">
        <v>0.6</v>
      </c>
      <c r="G23" s="21">
        <v>55</v>
      </c>
      <c r="H23" s="51">
        <f>-(F23*G23/$C$11-F23)</f>
        <v>0.18357782362627989</v>
      </c>
      <c r="I23" s="37"/>
      <c r="J23" s="37"/>
      <c r="K23" s="37"/>
      <c r="L23" s="37"/>
      <c r="M23" s="37"/>
      <c r="N23" s="37"/>
    </row>
    <row r="24" spans="1:14" ht="43.2" customHeight="1" x14ac:dyDescent="0.3">
      <c r="A24" s="1"/>
      <c r="B24" s="2" t="s">
        <v>36</v>
      </c>
      <c r="C24" s="24">
        <v>0</v>
      </c>
      <c r="D24" s="37"/>
      <c r="E24" s="52" t="s">
        <v>37</v>
      </c>
      <c r="F24" s="27">
        <v>0.7</v>
      </c>
      <c r="G24" s="52"/>
      <c r="H24" s="51">
        <f>-(F24*G24/$C$11-F24)</f>
        <v>0.7</v>
      </c>
      <c r="I24" s="37"/>
      <c r="J24" s="37"/>
      <c r="K24" s="37"/>
      <c r="L24" s="37"/>
      <c r="M24" s="37"/>
      <c r="N24" s="37"/>
    </row>
    <row r="25" spans="1:14" ht="43.2" customHeight="1" x14ac:dyDescent="0.3">
      <c r="A25" s="1"/>
      <c r="B25" s="7" t="s">
        <v>38</v>
      </c>
      <c r="C25" s="25">
        <v>0</v>
      </c>
      <c r="D25" s="37"/>
      <c r="E25" s="39" t="s">
        <v>39</v>
      </c>
      <c r="F25" s="38"/>
      <c r="G25" s="38"/>
      <c r="H25" s="119">
        <v>2.4609999999999999</v>
      </c>
      <c r="I25" s="37"/>
      <c r="J25" s="37"/>
      <c r="K25" s="37"/>
      <c r="L25" s="37"/>
      <c r="M25" s="37"/>
      <c r="N25" s="37"/>
    </row>
    <row r="26" spans="1:14" ht="28.8" customHeight="1" x14ac:dyDescent="0.3">
      <c r="A26" s="1"/>
      <c r="B26" s="6" t="s">
        <v>40</v>
      </c>
      <c r="C26" s="50">
        <f>SUM(C20:C25)</f>
        <v>6208.1598714999991</v>
      </c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</row>
    <row r="27" spans="1:14" x14ac:dyDescent="0.3">
      <c r="A27" s="1"/>
      <c r="B27" s="2"/>
      <c r="C27" s="38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</row>
    <row r="28" spans="1:14" ht="19.95" customHeight="1" x14ac:dyDescent="0.3">
      <c r="A28" s="1"/>
      <c r="B28" s="19" t="s">
        <v>41</v>
      </c>
      <c r="C28" s="4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</row>
    <row r="29" spans="1:14" x14ac:dyDescent="0.3">
      <c r="A29" s="1"/>
      <c r="B29" s="2"/>
      <c r="C29" s="38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</row>
    <row r="30" spans="1:14" ht="27.6" x14ac:dyDescent="0.3">
      <c r="A30" s="1"/>
      <c r="B30" s="20" t="s">
        <v>17</v>
      </c>
      <c r="C30" s="38"/>
      <c r="D30" s="37"/>
      <c r="E30" s="37"/>
      <c r="F30" s="39" t="s">
        <v>42</v>
      </c>
      <c r="G30" s="38"/>
      <c r="H30" s="38"/>
      <c r="I30" s="39" t="s">
        <v>43</v>
      </c>
      <c r="J30" s="38"/>
      <c r="K30" s="37"/>
      <c r="L30" s="37"/>
      <c r="M30" s="37"/>
      <c r="N30" s="37"/>
    </row>
    <row r="31" spans="1:14" x14ac:dyDescent="0.3">
      <c r="A31" s="1"/>
      <c r="B31" s="2"/>
      <c r="C31" s="38"/>
      <c r="D31" s="39" t="s">
        <v>44</v>
      </c>
      <c r="E31" s="37"/>
      <c r="F31" s="38"/>
      <c r="G31" s="38"/>
      <c r="H31" s="38"/>
      <c r="I31" s="38"/>
      <c r="J31" s="38"/>
      <c r="K31" s="37"/>
      <c r="L31" s="37"/>
      <c r="M31" s="37"/>
      <c r="N31" s="37"/>
    </row>
    <row r="32" spans="1:14" x14ac:dyDescent="0.3">
      <c r="A32" s="1"/>
      <c r="B32" s="20" t="s">
        <v>45</v>
      </c>
      <c r="C32" s="22">
        <v>7.0000000000000007E-2</v>
      </c>
      <c r="D32" s="42">
        <f>$D$36*C32</f>
        <v>264.60805752359994</v>
      </c>
      <c r="E32" s="37"/>
      <c r="F32" s="38" t="s">
        <v>45</v>
      </c>
      <c r="G32" s="38"/>
      <c r="H32" s="44" t="s">
        <v>46</v>
      </c>
      <c r="I32" s="38" t="s">
        <v>45</v>
      </c>
      <c r="J32" s="43" t="s">
        <v>47</v>
      </c>
      <c r="K32" s="37"/>
      <c r="L32" s="37"/>
      <c r="M32" s="37"/>
      <c r="N32" s="37"/>
    </row>
    <row r="33" spans="1:14" ht="43.2" customHeight="1" x14ac:dyDescent="0.3">
      <c r="A33" s="1"/>
      <c r="B33" s="2" t="s">
        <v>48</v>
      </c>
      <c r="C33" s="22">
        <v>0.21</v>
      </c>
      <c r="D33" s="42">
        <f>$D$36*C33</f>
        <v>793.82417257079976</v>
      </c>
      <c r="E33" s="37"/>
      <c r="F33" s="38" t="s">
        <v>48</v>
      </c>
      <c r="G33" s="38"/>
      <c r="H33" s="3">
        <v>6.25E-2</v>
      </c>
      <c r="I33" s="38" t="s">
        <v>48</v>
      </c>
      <c r="J33" s="22">
        <v>0.1</v>
      </c>
      <c r="K33" s="37"/>
      <c r="L33" s="37"/>
      <c r="M33" s="37"/>
      <c r="N33" s="37"/>
    </row>
    <row r="34" spans="1:14" ht="28.8" customHeight="1" x14ac:dyDescent="0.3">
      <c r="A34" s="1"/>
      <c r="B34" s="2" t="s">
        <v>49</v>
      </c>
      <c r="C34" s="22">
        <v>0.66</v>
      </c>
      <c r="D34" s="42">
        <f>$D$36*C34</f>
        <v>2494.8759709367996</v>
      </c>
      <c r="E34" s="37"/>
      <c r="F34" s="38" t="s">
        <v>49</v>
      </c>
      <c r="G34" s="38"/>
      <c r="H34" s="44" t="s">
        <v>50</v>
      </c>
      <c r="I34" s="38" t="s">
        <v>49</v>
      </c>
      <c r="J34" s="22">
        <v>0.01</v>
      </c>
      <c r="K34" s="37"/>
      <c r="L34" s="37"/>
      <c r="M34" s="37"/>
      <c r="N34" s="37"/>
    </row>
    <row r="35" spans="1:14" ht="43.2" customHeight="1" x14ac:dyDescent="0.3">
      <c r="A35" s="1"/>
      <c r="B35" s="7" t="s">
        <v>51</v>
      </c>
      <c r="C35" s="28">
        <v>0.06</v>
      </c>
      <c r="D35" s="42">
        <f>$D$36*C35</f>
        <v>226.80690644879994</v>
      </c>
      <c r="E35" s="37"/>
      <c r="F35" s="38" t="s">
        <v>51</v>
      </c>
      <c r="G35" s="38"/>
      <c r="H35" s="3">
        <v>0.12</v>
      </c>
      <c r="I35" s="38" t="s">
        <v>51</v>
      </c>
      <c r="J35" s="22">
        <v>0</v>
      </c>
      <c r="K35" s="37"/>
      <c r="L35" s="37"/>
      <c r="M35" s="37"/>
      <c r="N35" s="37"/>
    </row>
    <row r="36" spans="1:14" ht="43.2" customHeight="1" x14ac:dyDescent="0.3">
      <c r="A36" s="1"/>
      <c r="B36" s="6" t="s">
        <v>52</v>
      </c>
      <c r="C36" s="38"/>
      <c r="D36" s="50">
        <f>F12</f>
        <v>3780.1151074799991</v>
      </c>
      <c r="E36" s="37"/>
      <c r="F36" s="37"/>
      <c r="G36" s="37"/>
      <c r="H36" s="37"/>
      <c r="I36" s="37"/>
      <c r="J36" s="37"/>
      <c r="K36" s="37"/>
      <c r="L36" s="37"/>
      <c r="M36" s="37"/>
      <c r="N36" s="37"/>
    </row>
    <row r="37" spans="1:14" x14ac:dyDescent="0.3">
      <c r="A37" s="1"/>
      <c r="B37" s="2"/>
      <c r="C37" s="38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</row>
    <row r="38" spans="1:14" ht="19.95" customHeight="1" x14ac:dyDescent="0.3">
      <c r="A38" s="1"/>
      <c r="B38" s="19" t="s">
        <v>53</v>
      </c>
      <c r="C38" s="4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</row>
    <row r="39" spans="1:14" x14ac:dyDescent="0.3">
      <c r="A39" s="1"/>
      <c r="B39" s="2"/>
      <c r="C39" s="38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</row>
    <row r="40" spans="1:14" x14ac:dyDescent="0.3">
      <c r="A40" s="1"/>
      <c r="B40" s="20" t="s">
        <v>54</v>
      </c>
      <c r="C40" s="38"/>
      <c r="D40" s="37"/>
      <c r="E40" s="37"/>
      <c r="F40" s="39" t="s">
        <v>55</v>
      </c>
      <c r="G40" s="38"/>
      <c r="H40" s="38"/>
      <c r="I40" s="37"/>
      <c r="J40" s="37"/>
      <c r="K40" s="37"/>
      <c r="L40" s="37"/>
      <c r="M40" s="37"/>
      <c r="N40" s="37"/>
    </row>
    <row r="41" spans="1:14" ht="43.2" customHeight="1" x14ac:dyDescent="0.3">
      <c r="A41" s="1"/>
      <c r="B41" s="2" t="s">
        <v>48</v>
      </c>
      <c r="C41" s="42">
        <f>D33</f>
        <v>793.82417257079976</v>
      </c>
      <c r="D41" s="37"/>
      <c r="E41" s="37"/>
      <c r="F41" s="38" t="s">
        <v>56</v>
      </c>
      <c r="G41" s="38"/>
      <c r="H41" s="42">
        <f>F9</f>
        <v>5250.1598714999991</v>
      </c>
      <c r="I41" s="37"/>
      <c r="J41" s="37"/>
      <c r="K41" s="37"/>
      <c r="L41" s="37"/>
      <c r="M41" s="37"/>
      <c r="N41" s="37"/>
    </row>
    <row r="42" spans="1:14" ht="43.2" customHeight="1" x14ac:dyDescent="0.3">
      <c r="A42" s="1"/>
      <c r="B42" s="2" t="s">
        <v>49</v>
      </c>
      <c r="C42" s="42">
        <f>D34</f>
        <v>2494.8759709367996</v>
      </c>
      <c r="D42" s="37"/>
      <c r="E42" s="37"/>
      <c r="F42" s="38" t="s">
        <v>57</v>
      </c>
      <c r="G42" s="38"/>
      <c r="H42" s="42">
        <f>C22</f>
        <v>1150</v>
      </c>
      <c r="I42" s="37"/>
      <c r="J42" s="37"/>
      <c r="K42" s="37"/>
      <c r="L42" s="37"/>
      <c r="M42" s="37"/>
      <c r="N42" s="37"/>
    </row>
    <row r="43" spans="1:14" ht="43.2" customHeight="1" x14ac:dyDescent="0.3">
      <c r="A43" s="1"/>
      <c r="B43" s="2" t="s">
        <v>51</v>
      </c>
      <c r="C43" s="42">
        <f>D35</f>
        <v>226.80690644879994</v>
      </c>
      <c r="D43" s="37"/>
      <c r="E43" s="37"/>
      <c r="F43" s="38" t="s">
        <v>58</v>
      </c>
      <c r="G43" s="38"/>
      <c r="H43" s="42">
        <f>H41*I10</f>
        <v>15.750479614499998</v>
      </c>
      <c r="I43" s="37"/>
      <c r="J43" s="37"/>
      <c r="K43" s="37"/>
      <c r="L43" s="37"/>
      <c r="M43" s="37"/>
      <c r="N43" s="37"/>
    </row>
    <row r="44" spans="1:14" ht="57.6" customHeight="1" x14ac:dyDescent="0.3">
      <c r="A44" s="1"/>
      <c r="B44" s="7" t="s">
        <v>59</v>
      </c>
      <c r="C44" s="53">
        <f>C45-C41-C42-C43</f>
        <v>2972.1050277703007</v>
      </c>
      <c r="D44" s="37"/>
      <c r="E44" s="37"/>
      <c r="F44" s="38" t="s">
        <v>60</v>
      </c>
      <c r="G44" s="38"/>
      <c r="H44" s="42">
        <f>F12*I11</f>
        <v>56.701726612199984</v>
      </c>
      <c r="I44" s="37"/>
      <c r="J44" s="37"/>
      <c r="K44" s="37"/>
      <c r="L44" s="37"/>
      <c r="M44" s="37"/>
      <c r="N44" s="37"/>
    </row>
    <row r="45" spans="1:14" ht="43.2" customHeight="1" x14ac:dyDescent="0.3">
      <c r="A45" s="1"/>
      <c r="B45" s="6" t="s">
        <v>61</v>
      </c>
      <c r="C45" s="50">
        <f>H46</f>
        <v>6487.6120777266997</v>
      </c>
      <c r="D45" s="37"/>
      <c r="E45" s="37"/>
      <c r="F45" s="52" t="s">
        <v>18</v>
      </c>
      <c r="G45" s="52"/>
      <c r="H45" s="53">
        <f>I12</f>
        <v>15</v>
      </c>
      <c r="I45" s="37"/>
      <c r="J45" s="37"/>
      <c r="K45" s="37"/>
      <c r="L45" s="37"/>
      <c r="M45" s="37"/>
      <c r="N45" s="37"/>
    </row>
    <row r="46" spans="1:14" ht="28.8" customHeight="1" x14ac:dyDescent="0.3">
      <c r="A46" s="1"/>
      <c r="B46" s="2"/>
      <c r="C46" s="38"/>
      <c r="D46" s="37"/>
      <c r="E46" s="37"/>
      <c r="F46" s="39" t="s">
        <v>62</v>
      </c>
      <c r="G46" s="39"/>
      <c r="H46" s="50">
        <f>SUM(H41:H45)</f>
        <v>6487.6120777266997</v>
      </c>
      <c r="I46" s="37"/>
      <c r="J46" s="37"/>
      <c r="K46" s="37"/>
      <c r="L46" s="37"/>
      <c r="M46" s="37"/>
      <c r="N46" s="37"/>
    </row>
    <row r="47" spans="1:14" x14ac:dyDescent="0.3">
      <c r="A47" s="1"/>
      <c r="B47" s="2"/>
      <c r="C47" s="38"/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7"/>
    </row>
    <row r="48" spans="1:14" ht="19.95" customHeight="1" x14ac:dyDescent="0.3">
      <c r="A48" s="1"/>
      <c r="B48" s="126" t="s">
        <v>63</v>
      </c>
      <c r="C48" s="127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</row>
    <row r="49" spans="1:14" x14ac:dyDescent="0.3">
      <c r="A49" s="1"/>
      <c r="B49" s="2"/>
      <c r="C49" s="38"/>
      <c r="D49" s="37"/>
      <c r="E49" s="37"/>
      <c r="F49" s="37"/>
      <c r="G49" s="37"/>
      <c r="H49" s="37"/>
      <c r="I49" s="37"/>
      <c r="J49" s="37"/>
      <c r="K49" s="37"/>
      <c r="L49" s="37"/>
      <c r="M49" s="37"/>
      <c r="N49" s="37"/>
    </row>
    <row r="50" spans="1:14" ht="43.2" customHeight="1" x14ac:dyDescent="0.3">
      <c r="A50" s="1"/>
      <c r="B50" s="20" t="s">
        <v>64</v>
      </c>
      <c r="C50" s="38"/>
      <c r="D50" s="37"/>
      <c r="E50" s="37"/>
      <c r="F50" s="39" t="s">
        <v>65</v>
      </c>
      <c r="G50" s="38"/>
      <c r="H50" s="37"/>
      <c r="I50" s="37"/>
      <c r="J50" s="37"/>
      <c r="K50" s="37"/>
      <c r="L50" s="37"/>
      <c r="M50" s="37"/>
      <c r="N50" s="37"/>
    </row>
    <row r="51" spans="1:14" ht="43.2" customHeight="1" x14ac:dyDescent="0.3">
      <c r="A51" s="1"/>
      <c r="B51" s="2" t="s">
        <v>9</v>
      </c>
      <c r="C51" s="42">
        <f>F9</f>
        <v>5250.1598714999991</v>
      </c>
      <c r="D51" s="37"/>
      <c r="E51" s="37"/>
      <c r="F51" s="38" t="s">
        <v>66</v>
      </c>
      <c r="G51" s="22">
        <v>0.1</v>
      </c>
      <c r="H51" s="37"/>
      <c r="I51" s="37"/>
      <c r="J51" s="37"/>
      <c r="K51" s="37"/>
      <c r="L51" s="37"/>
      <c r="M51" s="37"/>
      <c r="N51" s="37"/>
    </row>
    <row r="52" spans="1:14" ht="57.6" customHeight="1" x14ac:dyDescent="0.3">
      <c r="A52" s="1"/>
      <c r="B52" s="2" t="s">
        <v>67</v>
      </c>
      <c r="C52" s="42">
        <f>-F141</f>
        <v>-1692</v>
      </c>
      <c r="D52" s="37"/>
      <c r="E52" s="37"/>
      <c r="F52" s="38" t="s">
        <v>68</v>
      </c>
      <c r="G52" s="42">
        <f>G51*F110</f>
        <v>198</v>
      </c>
      <c r="H52" s="37"/>
      <c r="I52" s="37"/>
      <c r="J52" s="37"/>
      <c r="K52" s="37"/>
      <c r="L52" s="37"/>
      <c r="M52" s="37"/>
      <c r="N52" s="37"/>
    </row>
    <row r="53" spans="1:14" ht="72" customHeight="1" x14ac:dyDescent="0.3">
      <c r="A53" s="1"/>
      <c r="B53" s="7" t="s">
        <v>69</v>
      </c>
      <c r="C53" s="53">
        <f>F111</f>
        <v>1150</v>
      </c>
      <c r="D53" s="37"/>
      <c r="E53" s="37"/>
      <c r="F53" s="38" t="s">
        <v>70</v>
      </c>
      <c r="G53" s="29">
        <v>8</v>
      </c>
      <c r="H53" s="37"/>
      <c r="I53" s="37"/>
      <c r="J53" s="37"/>
      <c r="K53" s="37"/>
      <c r="L53" s="37"/>
      <c r="M53" s="37"/>
      <c r="N53" s="37"/>
    </row>
    <row r="54" spans="1:14" ht="72" customHeight="1" x14ac:dyDescent="0.3">
      <c r="A54" s="1"/>
      <c r="B54" s="6" t="s">
        <v>71</v>
      </c>
      <c r="C54" s="50">
        <f>SUM(C51:C53)</f>
        <v>4708.1598714999991</v>
      </c>
      <c r="D54" s="37"/>
      <c r="E54" s="37"/>
      <c r="F54" s="37"/>
      <c r="G54" s="37"/>
      <c r="H54" s="37"/>
      <c r="I54" s="37"/>
      <c r="J54" s="37"/>
      <c r="K54" s="37"/>
      <c r="L54" s="37"/>
      <c r="M54" s="37"/>
      <c r="N54" s="37"/>
    </row>
    <row r="55" spans="1:14" ht="43.2" customHeight="1" x14ac:dyDescent="0.3">
      <c r="A55" s="1"/>
      <c r="B55" s="2" t="s">
        <v>72</v>
      </c>
      <c r="C55" s="42">
        <f>-G52</f>
        <v>-198</v>
      </c>
      <c r="D55" s="37"/>
      <c r="E55" s="37"/>
      <c r="F55" s="39" t="s">
        <v>73</v>
      </c>
      <c r="G55" s="38"/>
      <c r="H55" s="37"/>
      <c r="I55" s="37"/>
      <c r="J55" s="37"/>
      <c r="K55" s="37"/>
      <c r="L55" s="37"/>
      <c r="M55" s="37"/>
      <c r="N55" s="37"/>
    </row>
    <row r="56" spans="1:14" ht="72" customHeight="1" x14ac:dyDescent="0.3">
      <c r="A56" s="1"/>
      <c r="B56" s="2" t="s">
        <v>74</v>
      </c>
      <c r="C56" s="42">
        <f>-G58</f>
        <v>-1177.0399678749998</v>
      </c>
      <c r="D56" s="37"/>
      <c r="E56" s="37"/>
      <c r="F56" s="38" t="s">
        <v>75</v>
      </c>
      <c r="G56" s="42">
        <f>C54</f>
        <v>4708.1598714999991</v>
      </c>
      <c r="H56" s="37"/>
      <c r="I56" s="37"/>
      <c r="J56" s="37"/>
      <c r="K56" s="37"/>
      <c r="L56" s="37"/>
      <c r="M56" s="37"/>
      <c r="N56" s="37"/>
    </row>
    <row r="57" spans="1:14" ht="72" customHeight="1" x14ac:dyDescent="0.3">
      <c r="A57" s="1"/>
      <c r="B57" s="2" t="s">
        <v>76</v>
      </c>
      <c r="C57" s="42">
        <f>-F130</f>
        <v>-300</v>
      </c>
      <c r="D57" s="37"/>
      <c r="E57" s="37"/>
      <c r="F57" s="38" t="s">
        <v>77</v>
      </c>
      <c r="G57" s="22">
        <v>0.25</v>
      </c>
      <c r="H57" s="37"/>
      <c r="I57" s="37"/>
      <c r="J57" s="37"/>
      <c r="K57" s="37"/>
      <c r="L57" s="37"/>
      <c r="M57" s="37"/>
      <c r="N57" s="37"/>
    </row>
    <row r="58" spans="1:14" ht="72" customHeight="1" x14ac:dyDescent="0.3">
      <c r="A58" s="1"/>
      <c r="B58" s="7" t="s">
        <v>78</v>
      </c>
      <c r="C58" s="53">
        <f>(G58+G52)*F70</f>
        <v>1140.18314136195</v>
      </c>
      <c r="D58" s="37"/>
      <c r="E58" s="37"/>
      <c r="F58" s="38" t="s">
        <v>79</v>
      </c>
      <c r="G58" s="42">
        <f>G56*G57</f>
        <v>1177.0399678749998</v>
      </c>
      <c r="H58" s="37"/>
      <c r="I58" s="37"/>
      <c r="J58" s="37"/>
      <c r="K58" s="37"/>
      <c r="L58" s="37"/>
      <c r="M58" s="37"/>
      <c r="N58" s="37"/>
    </row>
    <row r="59" spans="1:14" ht="57.6" customHeight="1" x14ac:dyDescent="0.3">
      <c r="A59" s="1"/>
      <c r="B59" s="6" t="s">
        <v>80</v>
      </c>
      <c r="C59" s="91">
        <f>SUM(C54:C58)</f>
        <v>4173.3030449869493</v>
      </c>
      <c r="D59" s="37"/>
      <c r="E59" s="37"/>
      <c r="F59" s="38" t="s">
        <v>81</v>
      </c>
      <c r="G59" s="29">
        <v>5</v>
      </c>
      <c r="H59" s="37"/>
      <c r="I59" s="37"/>
      <c r="J59" s="37"/>
      <c r="K59" s="37"/>
      <c r="L59" s="37"/>
      <c r="M59" s="37"/>
      <c r="N59" s="37"/>
    </row>
    <row r="60" spans="1:14" x14ac:dyDescent="0.3">
      <c r="A60" s="1"/>
      <c r="B60" s="2"/>
      <c r="C60" s="38"/>
      <c r="D60" s="37"/>
      <c r="E60" s="37"/>
      <c r="F60" s="38"/>
      <c r="G60" s="38"/>
      <c r="H60" s="37"/>
      <c r="I60" s="37"/>
      <c r="J60" s="37"/>
      <c r="K60" s="37"/>
      <c r="L60" s="37"/>
      <c r="M60" s="37"/>
      <c r="N60" s="37"/>
    </row>
    <row r="61" spans="1:14" ht="72" customHeight="1" x14ac:dyDescent="0.3">
      <c r="A61" s="1"/>
      <c r="B61" s="20" t="s">
        <v>82</v>
      </c>
      <c r="C61" s="29">
        <v>5</v>
      </c>
      <c r="D61" s="37"/>
      <c r="E61" s="37"/>
      <c r="F61" s="39" t="s">
        <v>83</v>
      </c>
      <c r="G61" s="42">
        <f>C58</f>
        <v>1140.18314136195</v>
      </c>
      <c r="H61" s="37"/>
      <c r="I61" s="37"/>
      <c r="J61" s="37"/>
      <c r="K61" s="37"/>
      <c r="L61" s="37"/>
      <c r="M61" s="37"/>
      <c r="N61" s="37"/>
    </row>
    <row r="62" spans="1:14" x14ac:dyDescent="0.3">
      <c r="A62" s="1"/>
      <c r="B62" s="1"/>
      <c r="C62" s="37"/>
      <c r="D62" s="37"/>
      <c r="E62" s="37"/>
      <c r="F62" s="37"/>
      <c r="G62" s="37"/>
      <c r="H62" s="37"/>
      <c r="I62" s="37"/>
      <c r="J62" s="37"/>
      <c r="K62" s="37"/>
      <c r="L62" s="37"/>
      <c r="M62" s="37"/>
      <c r="N62" s="37"/>
    </row>
    <row r="63" spans="1:14" ht="19.95" customHeight="1" x14ac:dyDescent="0.3">
      <c r="A63" s="1"/>
      <c r="B63" s="18" t="s">
        <v>84</v>
      </c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</row>
    <row r="64" spans="1:14" ht="14.4" customHeight="1" x14ac:dyDescent="0.3">
      <c r="A64" s="1"/>
      <c r="B64" s="1"/>
      <c r="C64" s="37"/>
      <c r="D64" s="120" t="s">
        <v>85</v>
      </c>
      <c r="E64" s="121"/>
      <c r="F64" s="121"/>
      <c r="G64" s="120" t="s">
        <v>86</v>
      </c>
      <c r="H64" s="121"/>
      <c r="I64" s="121"/>
      <c r="J64" s="120" t="s">
        <v>87</v>
      </c>
      <c r="K64" s="121"/>
      <c r="L64" s="121"/>
      <c r="M64" s="121"/>
      <c r="N64" s="121"/>
    </row>
    <row r="65" spans="1:14" x14ac:dyDescent="0.3">
      <c r="A65" s="1"/>
      <c r="B65" s="1"/>
      <c r="C65" s="37"/>
      <c r="D65" s="55">
        <v>2012</v>
      </c>
      <c r="E65" s="55">
        <v>2013</v>
      </c>
      <c r="F65" s="55">
        <v>2014</v>
      </c>
      <c r="G65" s="55" t="s">
        <v>88</v>
      </c>
      <c r="H65" s="55" t="s">
        <v>89</v>
      </c>
      <c r="I65" s="55">
        <v>2014</v>
      </c>
      <c r="J65" s="55">
        <v>2015</v>
      </c>
      <c r="K65" s="55">
        <v>2016</v>
      </c>
      <c r="L65" s="55">
        <v>2017</v>
      </c>
      <c r="M65" s="55">
        <v>2018</v>
      </c>
      <c r="N65" s="55">
        <v>2019</v>
      </c>
    </row>
    <row r="66" spans="1:14" ht="43.2" customHeight="1" x14ac:dyDescent="0.3">
      <c r="A66" s="1"/>
      <c r="B66" s="2" t="s">
        <v>90</v>
      </c>
      <c r="C66" s="37"/>
      <c r="D66" s="30">
        <v>0.11210000000000001</v>
      </c>
      <c r="E66" s="30">
        <v>2.75E-2</v>
      </c>
      <c r="F66" s="30">
        <v>1.7000000000000001E-2</v>
      </c>
      <c r="G66" s="56"/>
      <c r="H66" s="56"/>
      <c r="I66" s="56"/>
      <c r="J66" s="30">
        <v>3.5000000000000003E-2</v>
      </c>
      <c r="K66" s="30">
        <v>2.8000000000000001E-2</v>
      </c>
      <c r="L66" s="30">
        <v>3.2000000000000001E-2</v>
      </c>
      <c r="M66" s="30">
        <v>2.5000000000000001E-2</v>
      </c>
      <c r="N66" s="30">
        <v>2.1999999999999999E-2</v>
      </c>
    </row>
    <row r="67" spans="1:14" ht="28.8" customHeight="1" x14ac:dyDescent="0.3">
      <c r="A67" s="1"/>
      <c r="B67" s="2" t="s">
        <v>91</v>
      </c>
      <c r="C67" s="37"/>
      <c r="D67" s="31">
        <v>0.70069999999999999</v>
      </c>
      <c r="E67" s="31">
        <v>0.69920000000000004</v>
      </c>
      <c r="F67" s="31">
        <v>0.70009999999999994</v>
      </c>
      <c r="G67" s="57"/>
      <c r="H67" s="57"/>
      <c r="I67" s="57"/>
      <c r="J67" s="57">
        <f>AVERAGE($D67:$F67)</f>
        <v>0.70000000000000007</v>
      </c>
      <c r="K67" s="57">
        <f t="shared" ref="K67:N69" si="0">AVERAGE($D67:$F67)</f>
        <v>0.70000000000000007</v>
      </c>
      <c r="L67" s="57">
        <f t="shared" si="0"/>
        <v>0.70000000000000007</v>
      </c>
      <c r="M67" s="57">
        <f t="shared" si="0"/>
        <v>0.70000000000000007</v>
      </c>
      <c r="N67" s="57">
        <f t="shared" si="0"/>
        <v>0.70000000000000007</v>
      </c>
    </row>
    <row r="68" spans="1:14" ht="28.8" customHeight="1" x14ac:dyDescent="0.3">
      <c r="A68" s="1"/>
      <c r="B68" s="2" t="s">
        <v>92</v>
      </c>
      <c r="C68" s="37"/>
      <c r="D68" s="31">
        <v>0.21460000000000001</v>
      </c>
      <c r="E68" s="31">
        <v>0.22</v>
      </c>
      <c r="F68" s="31">
        <v>0.2266</v>
      </c>
      <c r="G68" s="57"/>
      <c r="H68" s="57"/>
      <c r="I68" s="57"/>
      <c r="J68" s="57">
        <f>AVERAGE($D68:$F68)</f>
        <v>0.22040000000000001</v>
      </c>
      <c r="K68" s="57">
        <f t="shared" si="0"/>
        <v>0.22040000000000001</v>
      </c>
      <c r="L68" s="57">
        <f t="shared" si="0"/>
        <v>0.22040000000000001</v>
      </c>
      <c r="M68" s="57">
        <f t="shared" si="0"/>
        <v>0.22040000000000001</v>
      </c>
      <c r="N68" s="57">
        <f t="shared" si="0"/>
        <v>0.22040000000000001</v>
      </c>
    </row>
    <row r="69" spans="1:14" ht="28.8" customHeight="1" x14ac:dyDescent="0.3">
      <c r="A69" s="1"/>
      <c r="B69" s="2" t="s">
        <v>93</v>
      </c>
      <c r="C69" s="37"/>
      <c r="D69" s="31">
        <v>2.1999999999999999E-2</v>
      </c>
      <c r="E69" s="31">
        <v>2.29E-2</v>
      </c>
      <c r="F69" s="31">
        <v>2.46E-2</v>
      </c>
      <c r="G69" s="57"/>
      <c r="H69" s="57"/>
      <c r="I69" s="57"/>
      <c r="J69" s="57">
        <f>AVERAGE($D69:$F69)</f>
        <v>2.3166666666666665E-2</v>
      </c>
      <c r="K69" s="57">
        <f t="shared" si="0"/>
        <v>2.3166666666666665E-2</v>
      </c>
      <c r="L69" s="57">
        <f t="shared" si="0"/>
        <v>2.3166666666666665E-2</v>
      </c>
      <c r="M69" s="57">
        <f t="shared" si="0"/>
        <v>2.3166666666666665E-2</v>
      </c>
      <c r="N69" s="57">
        <f t="shared" si="0"/>
        <v>2.3166666666666665E-2</v>
      </c>
    </row>
    <row r="70" spans="1:14" ht="28.8" customHeight="1" x14ac:dyDescent="0.3">
      <c r="A70" s="1"/>
      <c r="B70" s="2" t="s">
        <v>94</v>
      </c>
      <c r="C70" s="37"/>
      <c r="D70" s="31">
        <v>0.60270000000000001</v>
      </c>
      <c r="E70" s="31">
        <v>0.62029999999999996</v>
      </c>
      <c r="F70" s="31">
        <v>0.82920000000000005</v>
      </c>
      <c r="G70" s="57"/>
      <c r="H70" s="57"/>
      <c r="I70" s="57"/>
      <c r="J70" s="57">
        <f>AVERAGE($D70:$F70)</f>
        <v>0.68406666666666671</v>
      </c>
      <c r="K70" s="31">
        <v>0.68410000000000004</v>
      </c>
      <c r="L70" s="31">
        <v>0.68410000000000004</v>
      </c>
      <c r="M70" s="31">
        <v>0.68410000000000004</v>
      </c>
      <c r="N70" s="31">
        <v>0.68410000000000004</v>
      </c>
    </row>
    <row r="71" spans="1:14" x14ac:dyDescent="0.3">
      <c r="A71" s="1"/>
      <c r="B71" s="2"/>
      <c r="C71" s="37"/>
      <c r="D71" s="58"/>
      <c r="E71" s="58"/>
      <c r="F71" s="58"/>
      <c r="G71" s="58"/>
      <c r="H71" s="58"/>
      <c r="I71" s="58"/>
      <c r="J71" s="58"/>
      <c r="K71" s="58"/>
      <c r="L71" s="58"/>
      <c r="M71" s="58"/>
      <c r="N71" s="58"/>
    </row>
    <row r="72" spans="1:14" ht="28.8" customHeight="1" x14ac:dyDescent="0.3">
      <c r="A72" s="1"/>
      <c r="B72" s="2" t="s">
        <v>95</v>
      </c>
      <c r="C72" s="37"/>
      <c r="D72" s="31">
        <v>0.15090000000000001</v>
      </c>
      <c r="E72" s="31">
        <v>0.15379999999999999</v>
      </c>
      <c r="F72" s="31">
        <v>0.16159999999999999</v>
      </c>
      <c r="G72" s="57"/>
      <c r="H72" s="57"/>
      <c r="I72" s="57"/>
      <c r="J72" s="57">
        <f>AVERAGE($D72:$F72)</f>
        <v>0.15543333333333331</v>
      </c>
      <c r="K72" s="57">
        <f>AVERAGE($D72:$F72)</f>
        <v>0.15543333333333331</v>
      </c>
      <c r="L72" s="57">
        <f>AVERAGE($D72:$F72)</f>
        <v>0.15543333333333331</v>
      </c>
      <c r="M72" s="57">
        <f>AVERAGE($D72:$F72)</f>
        <v>0.15543333333333331</v>
      </c>
      <c r="N72" s="57">
        <f>AVERAGE($D72:$F72)</f>
        <v>0.15543333333333331</v>
      </c>
    </row>
    <row r="73" spans="1:14" ht="57.6" customHeight="1" x14ac:dyDescent="0.3">
      <c r="A73" s="1"/>
      <c r="B73" s="2" t="s">
        <v>96</v>
      </c>
      <c r="C73" s="37"/>
      <c r="D73" s="31">
        <v>0.1027</v>
      </c>
      <c r="E73" s="31">
        <v>0.1072</v>
      </c>
      <c r="F73" s="31">
        <v>0.1055</v>
      </c>
      <c r="G73" s="57"/>
      <c r="H73" s="57"/>
      <c r="I73" s="57"/>
      <c r="J73" s="57">
        <f t="shared" ref="J73:N75" si="1">AVERAGE($D73:$F73)</f>
        <v>0.10513333333333334</v>
      </c>
      <c r="K73" s="57">
        <f t="shared" si="1"/>
        <v>0.10513333333333334</v>
      </c>
      <c r="L73" s="57">
        <f t="shared" si="1"/>
        <v>0.10513333333333334</v>
      </c>
      <c r="M73" s="57">
        <f t="shared" si="1"/>
        <v>0.10513333333333334</v>
      </c>
      <c r="N73" s="57">
        <f t="shared" si="1"/>
        <v>0.10513333333333334</v>
      </c>
    </row>
    <row r="74" spans="1:14" ht="43.2" customHeight="1" x14ac:dyDescent="0.3">
      <c r="A74" s="1"/>
      <c r="B74" s="2" t="s">
        <v>97</v>
      </c>
      <c r="C74" s="37"/>
      <c r="D74" s="31">
        <v>0.1363</v>
      </c>
      <c r="E74" s="31">
        <v>0.1411</v>
      </c>
      <c r="F74" s="31">
        <v>0.14460000000000001</v>
      </c>
      <c r="G74" s="57"/>
      <c r="H74" s="57"/>
      <c r="I74" s="57"/>
      <c r="J74" s="57">
        <f t="shared" si="1"/>
        <v>0.14066666666666666</v>
      </c>
      <c r="K74" s="57">
        <f t="shared" si="1"/>
        <v>0.14066666666666666</v>
      </c>
      <c r="L74" s="57">
        <f t="shared" si="1"/>
        <v>0.14066666666666666</v>
      </c>
      <c r="M74" s="57">
        <f t="shared" si="1"/>
        <v>0.14066666666666666</v>
      </c>
      <c r="N74" s="57">
        <f t="shared" si="1"/>
        <v>0.14066666666666666</v>
      </c>
    </row>
    <row r="75" spans="1:14" ht="57.6" customHeight="1" x14ac:dyDescent="0.3">
      <c r="A75" s="1"/>
      <c r="B75" s="2" t="s">
        <v>98</v>
      </c>
      <c r="C75" s="37"/>
      <c r="D75" s="31">
        <v>0.29430000000000001</v>
      </c>
      <c r="E75" s="31">
        <v>0.2989</v>
      </c>
      <c r="F75" s="31">
        <v>0.31019999999999998</v>
      </c>
      <c r="G75" s="57"/>
      <c r="H75" s="57"/>
      <c r="I75" s="57"/>
      <c r="J75" s="57">
        <f t="shared" si="1"/>
        <v>0.30113333333333331</v>
      </c>
      <c r="K75" s="57">
        <f t="shared" si="1"/>
        <v>0.30113333333333331</v>
      </c>
      <c r="L75" s="57">
        <f t="shared" si="1"/>
        <v>0.30113333333333331</v>
      </c>
      <c r="M75" s="57">
        <f t="shared" si="1"/>
        <v>0.30113333333333331</v>
      </c>
      <c r="N75" s="57">
        <f t="shared" si="1"/>
        <v>0.30113333333333331</v>
      </c>
    </row>
    <row r="76" spans="1:14" x14ac:dyDescent="0.3">
      <c r="A76" s="1"/>
      <c r="B76" s="2"/>
      <c r="C76" s="37"/>
      <c r="D76" s="58"/>
      <c r="E76" s="58"/>
      <c r="F76" s="58"/>
      <c r="G76" s="58"/>
      <c r="H76" s="58"/>
      <c r="I76" s="58"/>
      <c r="J76" s="58"/>
      <c r="K76" s="58"/>
      <c r="L76" s="58"/>
      <c r="M76" s="58"/>
      <c r="N76" s="58"/>
    </row>
    <row r="77" spans="1:14" ht="28.8" customHeight="1" x14ac:dyDescent="0.3">
      <c r="A77" s="1"/>
      <c r="B77" s="2" t="s">
        <v>99</v>
      </c>
      <c r="C77" s="37"/>
      <c r="D77" s="31">
        <v>2.1000000000000001E-2</v>
      </c>
      <c r="E77" s="31">
        <v>2.1000000000000001E-2</v>
      </c>
      <c r="F77" s="31">
        <v>0.02</v>
      </c>
      <c r="G77" s="57"/>
      <c r="H77" s="57"/>
      <c r="I77" s="57"/>
      <c r="J77" s="57">
        <f>AVERAGE($D77:$F77)</f>
        <v>2.0666666666666667E-2</v>
      </c>
      <c r="K77" s="57">
        <f>AVERAGE($D77:$F77)</f>
        <v>2.0666666666666667E-2</v>
      </c>
      <c r="L77" s="57">
        <f>AVERAGE($D77:$F77)</f>
        <v>2.0666666666666667E-2</v>
      </c>
      <c r="M77" s="57">
        <f>AVERAGE($D77:$F77)</f>
        <v>2.0666666666666667E-2</v>
      </c>
      <c r="N77" s="57">
        <f>AVERAGE($D77:$F77)</f>
        <v>2.0666666666666667E-2</v>
      </c>
    </row>
    <row r="78" spans="1:14" x14ac:dyDescent="0.3">
      <c r="A78" s="1"/>
      <c r="B78" s="2"/>
      <c r="C78" s="37"/>
      <c r="D78" s="58"/>
      <c r="E78" s="58"/>
      <c r="F78" s="58"/>
      <c r="G78" s="58"/>
      <c r="H78" s="58"/>
      <c r="I78" s="58"/>
      <c r="J78" s="58"/>
      <c r="K78" s="58"/>
      <c r="L78" s="58"/>
      <c r="M78" s="58"/>
      <c r="N78" s="58"/>
    </row>
    <row r="79" spans="1:14" ht="19.95" customHeight="1" x14ac:dyDescent="0.3">
      <c r="A79" s="1"/>
      <c r="B79" s="19" t="s">
        <v>100</v>
      </c>
      <c r="C79" s="36"/>
      <c r="D79" s="59"/>
      <c r="E79" s="59"/>
      <c r="F79" s="59"/>
      <c r="G79" s="59"/>
      <c r="H79" s="59"/>
      <c r="I79" s="59"/>
      <c r="J79" s="59"/>
      <c r="K79" s="59"/>
      <c r="L79" s="59"/>
      <c r="M79" s="59"/>
      <c r="N79" s="59"/>
    </row>
    <row r="80" spans="1:14" ht="14.4" customHeight="1" x14ac:dyDescent="0.3">
      <c r="A80" s="1"/>
      <c r="B80" s="2"/>
      <c r="C80" s="37"/>
      <c r="D80" s="120" t="s">
        <v>85</v>
      </c>
      <c r="E80" s="121"/>
      <c r="F80" s="121"/>
      <c r="G80" s="120" t="s">
        <v>86</v>
      </c>
      <c r="H80" s="121"/>
      <c r="I80" s="121"/>
      <c r="J80" s="120" t="s">
        <v>87</v>
      </c>
      <c r="K80" s="121"/>
      <c r="L80" s="121"/>
      <c r="M80" s="121"/>
      <c r="N80" s="121"/>
    </row>
    <row r="81" spans="1:14" x14ac:dyDescent="0.3">
      <c r="A81" s="1"/>
      <c r="B81" s="2"/>
      <c r="C81" s="60">
        <v>2011</v>
      </c>
      <c r="D81" s="55">
        <v>2012</v>
      </c>
      <c r="E81" s="55">
        <v>2013</v>
      </c>
      <c r="F81" s="55">
        <v>2014</v>
      </c>
      <c r="G81" s="55" t="s">
        <v>88</v>
      </c>
      <c r="H81" s="55" t="s">
        <v>89</v>
      </c>
      <c r="I81" s="55">
        <v>2014</v>
      </c>
      <c r="J81" s="55">
        <v>2015</v>
      </c>
      <c r="K81" s="55">
        <v>2016</v>
      </c>
      <c r="L81" s="55">
        <v>2017</v>
      </c>
      <c r="M81" s="55">
        <v>2018</v>
      </c>
      <c r="N81" s="55">
        <v>2019</v>
      </c>
    </row>
    <row r="82" spans="1:14" x14ac:dyDescent="0.3">
      <c r="A82" s="1"/>
      <c r="B82" s="2" t="s">
        <v>101</v>
      </c>
      <c r="C82" s="32">
        <v>6121</v>
      </c>
      <c r="D82" s="33">
        <v>6807</v>
      </c>
      <c r="E82" s="33">
        <v>6994</v>
      </c>
      <c r="F82" s="33">
        <v>7113</v>
      </c>
      <c r="G82" s="61"/>
      <c r="H82" s="61"/>
      <c r="I82" s="61"/>
      <c r="J82" s="62">
        <f>F82*(1+J66)</f>
        <v>7361.954999999999</v>
      </c>
      <c r="K82" s="62">
        <f>J82*(1+K66)</f>
        <v>7568.0897399999994</v>
      </c>
      <c r="L82" s="62">
        <f>K82*(1+L66)</f>
        <v>7810.2686116799996</v>
      </c>
      <c r="M82" s="62">
        <f>L82*(1+M66)</f>
        <v>8005.5253269719988</v>
      </c>
      <c r="N82" s="62">
        <f>M82*(1+N66)</f>
        <v>8181.6468841653832</v>
      </c>
    </row>
    <row r="83" spans="1:14" ht="43.2" customHeight="1" x14ac:dyDescent="0.3">
      <c r="A83" s="1"/>
      <c r="B83" s="2" t="s">
        <v>102</v>
      </c>
      <c r="C83" s="37"/>
      <c r="D83" s="33">
        <v>4770</v>
      </c>
      <c r="E83" s="34">
        <v>4890</v>
      </c>
      <c r="F83" s="34">
        <v>4980</v>
      </c>
      <c r="G83" s="63"/>
      <c r="H83" s="63"/>
      <c r="I83" s="63"/>
      <c r="J83" s="64">
        <f>J82*AVERAGE($D$67:$F$67)</f>
        <v>5153.3684999999996</v>
      </c>
      <c r="K83" s="64">
        <f>K82*AVERAGE($D$67:$F$67)</f>
        <v>5297.6628179999998</v>
      </c>
      <c r="L83" s="64">
        <f>L82*AVERAGE($D$67:$F$67)</f>
        <v>5467.1880281760004</v>
      </c>
      <c r="M83" s="64">
        <f>M82*AVERAGE($D$67:$F$67)</f>
        <v>5603.8677288803992</v>
      </c>
      <c r="N83" s="64">
        <f>N82*AVERAGE($D$67:$F$67)</f>
        <v>5727.1528189157689</v>
      </c>
    </row>
    <row r="84" spans="1:14" ht="28.8" customHeight="1" x14ac:dyDescent="0.3">
      <c r="A84" s="1"/>
      <c r="B84" s="6" t="s">
        <v>103</v>
      </c>
      <c r="C84" s="37"/>
      <c r="D84" s="35">
        <v>2037</v>
      </c>
      <c r="E84" s="35">
        <v>2104</v>
      </c>
      <c r="F84" s="35">
        <v>2133</v>
      </c>
      <c r="G84" s="63"/>
      <c r="H84" s="63"/>
      <c r="I84" s="63"/>
      <c r="J84" s="66">
        <f>J82-J83</f>
        <v>2208.5864999999994</v>
      </c>
      <c r="K84" s="66">
        <f>K82-K83</f>
        <v>2270.4269219999996</v>
      </c>
      <c r="L84" s="66">
        <f>L82-L83</f>
        <v>2343.0805835039992</v>
      </c>
      <c r="M84" s="66">
        <f>M82-M83</f>
        <v>2401.6575980915995</v>
      </c>
      <c r="N84" s="66">
        <f>N82-N83</f>
        <v>2454.4940652496143</v>
      </c>
    </row>
    <row r="85" spans="1:14" x14ac:dyDescent="0.3">
      <c r="A85" s="1"/>
      <c r="B85" s="2"/>
      <c r="C85" s="37"/>
      <c r="D85" s="63"/>
      <c r="E85" s="63"/>
      <c r="F85" s="63"/>
      <c r="G85" s="63"/>
      <c r="H85" s="63"/>
      <c r="I85" s="63"/>
      <c r="J85" s="63"/>
      <c r="K85" s="63"/>
      <c r="L85" s="63"/>
      <c r="M85" s="63"/>
      <c r="N85" s="63"/>
    </row>
    <row r="86" spans="1:14" ht="28.8" customHeight="1" x14ac:dyDescent="0.3">
      <c r="A86" s="1"/>
      <c r="B86" s="2" t="s">
        <v>104</v>
      </c>
      <c r="C86" s="37"/>
      <c r="D86" s="34">
        <v>1461</v>
      </c>
      <c r="E86" s="34">
        <v>1539</v>
      </c>
      <c r="F86" s="34">
        <v>1612</v>
      </c>
      <c r="G86" s="63"/>
      <c r="H86" s="63"/>
      <c r="I86" s="63"/>
      <c r="J86" s="64">
        <f>J82*AVERAGE($D$68:$F$68)</f>
        <v>1622.5748819999999</v>
      </c>
      <c r="K86" s="64">
        <f>K82*AVERAGE($D$68:$F$68)</f>
        <v>1668.006978696</v>
      </c>
      <c r="L86" s="64">
        <f>L82*AVERAGE($D$68:$F$68)</f>
        <v>1721.383202014272</v>
      </c>
      <c r="M86" s="64">
        <f>M82*AVERAGE($D$68:$F$68)</f>
        <v>1764.4177820646287</v>
      </c>
      <c r="N86" s="64">
        <f>N82*AVERAGE($D$68:$F$68)</f>
        <v>1803.2349732700507</v>
      </c>
    </row>
    <row r="87" spans="1:14" ht="57.6" customHeight="1" x14ac:dyDescent="0.3">
      <c r="A87" s="1"/>
      <c r="B87" s="2" t="s">
        <v>105</v>
      </c>
      <c r="C87" s="37"/>
      <c r="D87" s="34">
        <v>150</v>
      </c>
      <c r="E87" s="34">
        <v>160</v>
      </c>
      <c r="F87" s="34">
        <v>175</v>
      </c>
      <c r="G87" s="63"/>
      <c r="H87" s="63"/>
      <c r="I87" s="63"/>
      <c r="J87" s="64">
        <f>J82*AVERAGE($D$69:$F$69)</f>
        <v>170.55195749999996</v>
      </c>
      <c r="K87" s="64">
        <f>K82*AVERAGE($D$69:$F$69)</f>
        <v>175.32741230999997</v>
      </c>
      <c r="L87" s="64">
        <f>L82*AVERAGE($D$69:$F$69)</f>
        <v>180.93788950391999</v>
      </c>
      <c r="M87" s="64">
        <f>M82*AVERAGE($D$69:$F$69)</f>
        <v>185.46133674151795</v>
      </c>
      <c r="N87" s="64">
        <f>N82*AVERAGE($D$69:$F$69)</f>
        <v>189.54148614983137</v>
      </c>
    </row>
    <row r="88" spans="1:14" ht="57.6" customHeight="1" x14ac:dyDescent="0.3">
      <c r="A88" s="1"/>
      <c r="B88" s="2" t="s">
        <v>106</v>
      </c>
      <c r="C88" s="37"/>
      <c r="D88" s="63" t="s">
        <v>107</v>
      </c>
      <c r="E88" s="63" t="s">
        <v>107</v>
      </c>
      <c r="F88" s="63" t="s">
        <v>107</v>
      </c>
      <c r="G88" s="63"/>
      <c r="H88" s="63"/>
      <c r="I88" s="63"/>
      <c r="J88" s="64">
        <f>G52/G53</f>
        <v>24.75</v>
      </c>
      <c r="K88" s="64">
        <f>G52/G53</f>
        <v>24.75</v>
      </c>
      <c r="L88" s="64">
        <f>G52/G53</f>
        <v>24.75</v>
      </c>
      <c r="M88" s="64">
        <f>G52/G53</f>
        <v>24.75</v>
      </c>
      <c r="N88" s="64">
        <f>G52/G53</f>
        <v>24.75</v>
      </c>
    </row>
    <row r="89" spans="1:14" ht="72" customHeight="1" x14ac:dyDescent="0.3">
      <c r="A89" s="1"/>
      <c r="B89" s="2" t="s">
        <v>108</v>
      </c>
      <c r="C89" s="37"/>
      <c r="D89" s="63" t="s">
        <v>107</v>
      </c>
      <c r="E89" s="63" t="s">
        <v>107</v>
      </c>
      <c r="F89" s="63" t="s">
        <v>107</v>
      </c>
      <c r="G89" s="63"/>
      <c r="H89" s="63"/>
      <c r="I89" s="63"/>
      <c r="J89" s="64">
        <f>G58/G59</f>
        <v>235.40799357499995</v>
      </c>
      <c r="K89" s="64">
        <f>G58/G59</f>
        <v>235.40799357499995</v>
      </c>
      <c r="L89" s="64">
        <f>G58/G59</f>
        <v>235.40799357499995</v>
      </c>
      <c r="M89" s="64">
        <f>G58/G59</f>
        <v>235.40799357499995</v>
      </c>
      <c r="N89" s="64">
        <f>G58/G59</f>
        <v>235.40799357499995</v>
      </c>
    </row>
    <row r="90" spans="1:14" ht="57.6" customHeight="1" x14ac:dyDescent="0.3">
      <c r="A90" s="1"/>
      <c r="B90" s="2" t="s">
        <v>109</v>
      </c>
      <c r="C90" s="37"/>
      <c r="D90" s="63" t="s">
        <v>107</v>
      </c>
      <c r="E90" s="63" t="s">
        <v>107</v>
      </c>
      <c r="F90" s="63" t="s">
        <v>107</v>
      </c>
      <c r="G90" s="63"/>
      <c r="H90" s="63"/>
      <c r="I90" s="63"/>
      <c r="J90" s="64">
        <f>$H$44/5</f>
        <v>11.340345322439997</v>
      </c>
      <c r="K90" s="64">
        <f>$H$44/5</f>
        <v>11.340345322439997</v>
      </c>
      <c r="L90" s="64">
        <f>$H$44/5</f>
        <v>11.340345322439997</v>
      </c>
      <c r="M90" s="64">
        <f>$H$44/5</f>
        <v>11.340345322439997</v>
      </c>
      <c r="N90" s="64">
        <f>$H$44/5</f>
        <v>11.340345322439997</v>
      </c>
    </row>
    <row r="91" spans="1:14" ht="28.8" customHeight="1" x14ac:dyDescent="0.3">
      <c r="A91" s="1"/>
      <c r="B91" s="6" t="s">
        <v>110</v>
      </c>
      <c r="C91" s="37"/>
      <c r="D91" s="35">
        <v>426</v>
      </c>
      <c r="E91" s="35">
        <v>405</v>
      </c>
      <c r="F91" s="35">
        <v>346</v>
      </c>
      <c r="G91" s="63"/>
      <c r="H91" s="63"/>
      <c r="I91" s="63"/>
      <c r="J91" s="66">
        <f>J84-J86-J87-J88-J89-J90</f>
        <v>143.96132160255965</v>
      </c>
      <c r="K91" s="66">
        <f>K84-K86-K87-K88-K89-K90</f>
        <v>155.59419209655968</v>
      </c>
      <c r="L91" s="66">
        <f>L84-L86-L87-L88-L89-L90</f>
        <v>169.26115308836719</v>
      </c>
      <c r="M91" s="66">
        <f>M84-M86-M87-M88-M89-M90</f>
        <v>180.280140388013</v>
      </c>
      <c r="N91" s="66">
        <f>N84-N86-N87-N88-N89-N90</f>
        <v>190.21926693229236</v>
      </c>
    </row>
    <row r="92" spans="1:14" x14ac:dyDescent="0.3">
      <c r="A92" s="1"/>
      <c r="B92" s="2"/>
      <c r="C92" s="37"/>
      <c r="D92" s="63"/>
      <c r="E92" s="63"/>
      <c r="F92" s="63"/>
      <c r="G92" s="63"/>
      <c r="H92" s="63"/>
      <c r="I92" s="63"/>
      <c r="J92" s="63"/>
      <c r="K92" s="63"/>
      <c r="L92" s="63"/>
      <c r="M92" s="63"/>
      <c r="N92" s="63"/>
    </row>
    <row r="93" spans="1:14" ht="43.2" customHeight="1" x14ac:dyDescent="0.3">
      <c r="A93" s="1"/>
      <c r="B93" s="2" t="s">
        <v>111</v>
      </c>
      <c r="C93" s="37"/>
      <c r="D93" s="34">
        <v>-56</v>
      </c>
      <c r="E93" s="34">
        <v>-60</v>
      </c>
      <c r="F93" s="34">
        <v>-65</v>
      </c>
      <c r="G93" s="63"/>
      <c r="H93" s="63"/>
      <c r="I93" s="63"/>
      <c r="J93" s="64">
        <f ca="1">IF($L$8=1,J195,0)</f>
        <v>-169.03227357120667</v>
      </c>
      <c r="K93" s="64">
        <f ca="1">IF($L$8=1,K195,0)</f>
        <v>-150.35548635897814</v>
      </c>
      <c r="L93" s="64">
        <f ca="1">IF($L$8=1,L195,0)</f>
        <v>-141.98394246811557</v>
      </c>
      <c r="M93" s="64">
        <f ca="1">IF($L$8=1,M195,0)</f>
        <v>-143.39019708485966</v>
      </c>
      <c r="N93" s="64">
        <f ca="1">IF($L$8=1,N195,0)</f>
        <v>-135.13396854969551</v>
      </c>
    </row>
    <row r="94" spans="1:14" ht="28.8" customHeight="1" x14ac:dyDescent="0.3">
      <c r="A94" s="1"/>
      <c r="B94" s="6" t="s">
        <v>112</v>
      </c>
      <c r="C94" s="37"/>
      <c r="D94" s="35">
        <v>370</v>
      </c>
      <c r="E94" s="35">
        <v>345</v>
      </c>
      <c r="F94" s="35">
        <v>281</v>
      </c>
      <c r="G94" s="63"/>
      <c r="H94" s="63"/>
      <c r="I94" s="63"/>
      <c r="J94" s="66">
        <f ca="1">J91+J93</f>
        <v>-25.070951968647023</v>
      </c>
      <c r="K94" s="66">
        <f ca="1">K91+K93</f>
        <v>5.2387057375815402</v>
      </c>
      <c r="L94" s="66">
        <f ca="1">L91+L93</f>
        <v>27.277210620251623</v>
      </c>
      <c r="M94" s="66">
        <f ca="1">M91+M93</f>
        <v>36.889943303153331</v>
      </c>
      <c r="N94" s="66">
        <f ca="1">N91+N93</f>
        <v>55.085298382596847</v>
      </c>
    </row>
    <row r="95" spans="1:14" ht="43.2" customHeight="1" x14ac:dyDescent="0.3">
      <c r="A95" s="1"/>
      <c r="B95" s="2" t="s">
        <v>113</v>
      </c>
      <c r="C95" s="37"/>
      <c r="D95" s="34">
        <v>223</v>
      </c>
      <c r="E95" s="34">
        <v>214</v>
      </c>
      <c r="F95" s="34">
        <v>233</v>
      </c>
      <c r="G95" s="63"/>
      <c r="H95" s="63"/>
      <c r="I95" s="63"/>
      <c r="J95" s="64">
        <f ca="1">J94*J70</f>
        <v>-17.150202543352474</v>
      </c>
      <c r="K95" s="64">
        <f ca="1">K94*K70</f>
        <v>3.5837985950795317</v>
      </c>
      <c r="L95" s="64">
        <f ca="1">L94*L70</f>
        <v>18.660339785314136</v>
      </c>
      <c r="M95" s="64">
        <f ca="1">M94*M70</f>
        <v>25.236410213687194</v>
      </c>
      <c r="N95" s="64">
        <f ca="1">N94*N70</f>
        <v>37.683852623534506</v>
      </c>
    </row>
    <row r="96" spans="1:14" x14ac:dyDescent="0.3">
      <c r="A96" s="1"/>
      <c r="B96" s="2"/>
      <c r="C96" s="37"/>
      <c r="D96" s="63"/>
      <c r="E96" s="63"/>
      <c r="F96" s="63"/>
      <c r="G96" s="63"/>
      <c r="H96" s="63"/>
      <c r="I96" s="63"/>
      <c r="J96" s="64"/>
      <c r="K96" s="64"/>
      <c r="L96" s="64"/>
      <c r="M96" s="64"/>
      <c r="N96" s="64"/>
    </row>
    <row r="97" spans="1:14" ht="28.8" customHeight="1" x14ac:dyDescent="0.3">
      <c r="A97" s="1"/>
      <c r="B97" s="6" t="s">
        <v>114</v>
      </c>
      <c r="C97" s="37"/>
      <c r="D97" s="35">
        <v>147</v>
      </c>
      <c r="E97" s="35">
        <v>131</v>
      </c>
      <c r="F97" s="35">
        <v>48</v>
      </c>
      <c r="G97" s="63"/>
      <c r="H97" s="63"/>
      <c r="I97" s="63"/>
      <c r="J97" s="66">
        <f ca="1">J94-J95</f>
        <v>-7.9207494252945487</v>
      </c>
      <c r="K97" s="66">
        <f ca="1">K94-K95</f>
        <v>1.6549071425020085</v>
      </c>
      <c r="L97" s="66">
        <f ca="1">L94-L95</f>
        <v>8.6168708349374867</v>
      </c>
      <c r="M97" s="66">
        <f ca="1">M94-M95</f>
        <v>11.653533089466137</v>
      </c>
      <c r="N97" s="66">
        <f ca="1">N94-N95</f>
        <v>17.401445759062341</v>
      </c>
    </row>
    <row r="98" spans="1:14" x14ac:dyDescent="0.3">
      <c r="A98" s="1"/>
      <c r="B98" s="6" t="s">
        <v>115</v>
      </c>
      <c r="C98" s="37"/>
      <c r="D98" s="35">
        <v>576</v>
      </c>
      <c r="E98" s="35">
        <v>565</v>
      </c>
      <c r="F98" s="35">
        <v>521</v>
      </c>
      <c r="G98" s="63"/>
      <c r="H98" s="63"/>
      <c r="I98" s="63"/>
      <c r="J98" s="66">
        <f>J84-J86</f>
        <v>586.01161799999954</v>
      </c>
      <c r="K98" s="66">
        <f>K84-K86</f>
        <v>602.41994330399962</v>
      </c>
      <c r="L98" s="66">
        <f>L84-L86</f>
        <v>621.69738148972715</v>
      </c>
      <c r="M98" s="66">
        <f>M84-M86</f>
        <v>637.23981602697086</v>
      </c>
      <c r="N98" s="66">
        <f>N84-N86</f>
        <v>651.25909197956366</v>
      </c>
    </row>
    <row r="99" spans="1:14" x14ac:dyDescent="0.3">
      <c r="A99" s="1"/>
      <c r="B99" s="2"/>
      <c r="C99" s="37"/>
      <c r="D99" s="58"/>
      <c r="E99" s="58"/>
      <c r="F99" s="58"/>
      <c r="G99" s="58"/>
      <c r="H99" s="58"/>
      <c r="I99" s="58"/>
      <c r="J99" s="67"/>
      <c r="K99" s="67"/>
      <c r="L99" s="67"/>
      <c r="M99" s="67"/>
      <c r="N99" s="67"/>
    </row>
    <row r="100" spans="1:14" ht="19.95" customHeight="1" x14ac:dyDescent="0.3">
      <c r="A100" s="1"/>
      <c r="B100" s="19" t="s">
        <v>116</v>
      </c>
      <c r="C100" s="36"/>
      <c r="D100" s="59"/>
      <c r="E100" s="59"/>
      <c r="F100" s="59"/>
      <c r="G100" s="59"/>
      <c r="H100" s="59"/>
      <c r="I100" s="59"/>
      <c r="J100" s="68"/>
      <c r="K100" s="68"/>
      <c r="L100" s="68"/>
      <c r="M100" s="68"/>
      <c r="N100" s="68"/>
    </row>
    <row r="101" spans="1:14" ht="14.4" customHeight="1" x14ac:dyDescent="0.3">
      <c r="A101" s="1"/>
      <c r="B101" s="2"/>
      <c r="C101" s="37"/>
      <c r="D101" s="120" t="s">
        <v>85</v>
      </c>
      <c r="E101" s="121"/>
      <c r="F101" s="121"/>
      <c r="G101" s="120" t="s">
        <v>86</v>
      </c>
      <c r="H101" s="121"/>
      <c r="I101" s="121"/>
      <c r="J101" s="124" t="s">
        <v>87</v>
      </c>
      <c r="K101" s="125"/>
      <c r="L101" s="125"/>
      <c r="M101" s="125"/>
      <c r="N101" s="125"/>
    </row>
    <row r="102" spans="1:14" x14ac:dyDescent="0.3">
      <c r="A102" s="1"/>
      <c r="B102" s="2"/>
      <c r="C102" s="37"/>
      <c r="D102" s="55">
        <v>2012</v>
      </c>
      <c r="E102" s="55">
        <v>2013</v>
      </c>
      <c r="F102" s="55">
        <v>2014</v>
      </c>
      <c r="G102" s="55" t="s">
        <v>88</v>
      </c>
      <c r="H102" s="55" t="s">
        <v>89</v>
      </c>
      <c r="I102" s="55">
        <v>2014</v>
      </c>
      <c r="J102" s="55">
        <v>2015</v>
      </c>
      <c r="K102" s="55">
        <v>2016</v>
      </c>
      <c r="L102" s="55">
        <v>2017</v>
      </c>
      <c r="M102" s="55">
        <v>2018</v>
      </c>
      <c r="N102" s="55">
        <v>2019</v>
      </c>
    </row>
    <row r="103" spans="1:14" ht="28.8" customHeight="1" x14ac:dyDescent="0.3">
      <c r="A103" s="1"/>
      <c r="B103" s="20" t="s">
        <v>117</v>
      </c>
      <c r="C103" s="37"/>
      <c r="D103" s="69"/>
      <c r="E103" s="69"/>
      <c r="F103" s="69"/>
      <c r="G103" s="69"/>
      <c r="H103" s="69"/>
      <c r="I103" s="69"/>
      <c r="J103" s="70"/>
      <c r="K103" s="70"/>
      <c r="L103" s="70"/>
      <c r="M103" s="70"/>
      <c r="N103" s="70"/>
    </row>
    <row r="104" spans="1:14" ht="40.799999999999997" customHeight="1" x14ac:dyDescent="0.3">
      <c r="A104" s="1"/>
      <c r="B104" s="2" t="s">
        <v>118</v>
      </c>
      <c r="C104" s="37"/>
      <c r="D104" s="34">
        <v>180</v>
      </c>
      <c r="E104" s="34">
        <v>162</v>
      </c>
      <c r="F104" s="34">
        <v>192</v>
      </c>
      <c r="G104" s="63"/>
      <c r="H104" s="63"/>
      <c r="I104" s="34">
        <v>192</v>
      </c>
      <c r="J104" s="64">
        <f>$I$15</f>
        <v>50</v>
      </c>
      <c r="K104" s="64">
        <f>$I$15</f>
        <v>50</v>
      </c>
      <c r="L104" s="64">
        <f>$I$15</f>
        <v>50</v>
      </c>
      <c r="M104" s="64">
        <f>$I$15</f>
        <v>50</v>
      </c>
      <c r="N104" s="64">
        <f>$I$15</f>
        <v>50</v>
      </c>
    </row>
    <row r="105" spans="1:14" ht="40.200000000000003" customHeight="1" x14ac:dyDescent="0.3">
      <c r="A105" s="1"/>
      <c r="B105" s="2" t="s">
        <v>119</v>
      </c>
      <c r="C105" s="37"/>
      <c r="D105" s="34">
        <v>720</v>
      </c>
      <c r="E105" s="34">
        <v>752</v>
      </c>
      <c r="F105" s="34">
        <v>805</v>
      </c>
      <c r="G105" s="63"/>
      <c r="H105" s="63"/>
      <c r="I105" s="34">
        <v>805</v>
      </c>
      <c r="J105" s="64">
        <f>J83*J72</f>
        <v>801.00524384999983</v>
      </c>
      <c r="K105" s="64">
        <f>K83*K72</f>
        <v>823.43339067779982</v>
      </c>
      <c r="L105" s="64">
        <f>L83*L72</f>
        <v>849.78325917948951</v>
      </c>
      <c r="M105" s="64">
        <f>M83*M72</f>
        <v>871.02784065897663</v>
      </c>
      <c r="N105" s="64">
        <f>N83*N72</f>
        <v>890.19045315347421</v>
      </c>
    </row>
    <row r="106" spans="1:14" ht="43.2" customHeight="1" x14ac:dyDescent="0.3">
      <c r="A106" s="1"/>
      <c r="B106" s="7" t="s">
        <v>120</v>
      </c>
      <c r="C106" s="71"/>
      <c r="D106" s="34">
        <v>150</v>
      </c>
      <c r="E106" s="34">
        <v>165</v>
      </c>
      <c r="F106" s="34">
        <v>170</v>
      </c>
      <c r="G106" s="63"/>
      <c r="H106" s="63"/>
      <c r="I106" s="34">
        <v>170</v>
      </c>
      <c r="J106" s="64">
        <f>J86*J73</f>
        <v>170.58670592760001</v>
      </c>
      <c r="K106" s="64">
        <f>K86*K73</f>
        <v>175.36313369357282</v>
      </c>
      <c r="L106" s="64">
        <f>L86*L73</f>
        <v>180.97475397176714</v>
      </c>
      <c r="M106" s="64">
        <f>M86*M73</f>
        <v>185.49912282106132</v>
      </c>
      <c r="N106" s="64">
        <f>N86*N73</f>
        <v>189.58010352312468</v>
      </c>
    </row>
    <row r="107" spans="1:14" ht="34.200000000000003" customHeight="1" x14ac:dyDescent="0.3">
      <c r="A107" s="1"/>
      <c r="B107" s="6" t="s">
        <v>121</v>
      </c>
      <c r="C107" s="37"/>
      <c r="D107" s="35">
        <v>1050</v>
      </c>
      <c r="E107" s="35">
        <v>1079</v>
      </c>
      <c r="F107" s="35">
        <v>1167</v>
      </c>
      <c r="G107" s="63"/>
      <c r="H107" s="63"/>
      <c r="I107" s="35">
        <v>1167</v>
      </c>
      <c r="J107" s="66">
        <f>J104+J105+J106</f>
        <v>1021.5919497775999</v>
      </c>
      <c r="K107" s="66">
        <f>K104+K105+K106</f>
        <v>1048.7965243713727</v>
      </c>
      <c r="L107" s="66">
        <f>L104+L105+L106</f>
        <v>1080.7580131512566</v>
      </c>
      <c r="M107" s="66">
        <f>M104+M105+M106</f>
        <v>1106.5269634800379</v>
      </c>
      <c r="N107" s="66">
        <f>N104+N105+N106</f>
        <v>1129.770556676599</v>
      </c>
    </row>
    <row r="108" spans="1:14" x14ac:dyDescent="0.3">
      <c r="A108" s="1"/>
      <c r="B108" s="2"/>
      <c r="C108" s="37"/>
      <c r="D108" s="42"/>
      <c r="E108" s="42"/>
      <c r="F108" s="42"/>
      <c r="G108" s="72"/>
      <c r="H108" s="42"/>
      <c r="I108" s="73"/>
      <c r="J108" s="42"/>
      <c r="K108" s="42"/>
      <c r="L108" s="42"/>
      <c r="M108" s="42"/>
      <c r="N108" s="42"/>
    </row>
    <row r="109" spans="1:14" ht="43.2" customHeight="1" x14ac:dyDescent="0.3">
      <c r="A109" s="1"/>
      <c r="B109" s="20" t="s">
        <v>122</v>
      </c>
      <c r="C109" s="37"/>
      <c r="D109" s="42"/>
      <c r="E109" s="42"/>
      <c r="F109" s="42"/>
      <c r="G109" s="72"/>
      <c r="H109" s="42"/>
      <c r="I109" s="73"/>
      <c r="J109" s="42"/>
      <c r="K109" s="42"/>
      <c r="L109" s="42"/>
      <c r="M109" s="42"/>
      <c r="N109" s="42"/>
    </row>
    <row r="110" spans="1:14" x14ac:dyDescent="0.3">
      <c r="A110" s="1"/>
      <c r="B110" s="2" t="s">
        <v>123</v>
      </c>
      <c r="C110" s="37"/>
      <c r="D110" s="34">
        <v>1720</v>
      </c>
      <c r="E110" s="34">
        <v>1850</v>
      </c>
      <c r="F110" s="34">
        <v>1980</v>
      </c>
      <c r="G110" s="110">
        <f>G52</f>
        <v>198</v>
      </c>
      <c r="H110" s="110"/>
      <c r="I110" s="110">
        <f>F110+G110-H110</f>
        <v>2178</v>
      </c>
      <c r="J110" s="92">
        <f>I110-J162-J87-J88</f>
        <v>2134.8451125000001</v>
      </c>
      <c r="K110" s="92">
        <f>J110-K162-K87-K88</f>
        <v>2091.1748881500002</v>
      </c>
      <c r="L110" s="92">
        <f>K110-L162-L87-L88</f>
        <v>2046.8992166208004</v>
      </c>
      <c r="M110" s="92">
        <f>L110-M162-M87-M88</f>
        <v>2002.1354033033706</v>
      </c>
      <c r="N110" s="92">
        <f>M110-N162-N87-N88</f>
        <v>1956.931286092957</v>
      </c>
    </row>
    <row r="111" spans="1:14" x14ac:dyDescent="0.3">
      <c r="A111" s="1"/>
      <c r="B111" s="2" t="s">
        <v>124</v>
      </c>
      <c r="C111" s="37"/>
      <c r="D111" s="34">
        <v>1150</v>
      </c>
      <c r="E111" s="34">
        <v>1150</v>
      </c>
      <c r="F111" s="34">
        <v>1150</v>
      </c>
      <c r="G111" s="110">
        <v>4173.3100000000004</v>
      </c>
      <c r="H111" s="110">
        <v>1150</v>
      </c>
      <c r="I111" s="110">
        <f>F111+G111-H111</f>
        <v>4173.3100000000004</v>
      </c>
      <c r="J111" s="92">
        <f>I111</f>
        <v>4173.3100000000004</v>
      </c>
      <c r="K111" s="92">
        <f>I111</f>
        <v>4173.3100000000004</v>
      </c>
      <c r="L111" s="92">
        <f>I111</f>
        <v>4173.3100000000004</v>
      </c>
      <c r="M111" s="92">
        <f>I111</f>
        <v>4173.3100000000004</v>
      </c>
      <c r="N111" s="92">
        <f>I111</f>
        <v>4173.3100000000004</v>
      </c>
    </row>
    <row r="112" spans="1:14" ht="28.8" customHeight="1" x14ac:dyDescent="0.3">
      <c r="A112" s="1"/>
      <c r="B112" s="2" t="s">
        <v>125</v>
      </c>
      <c r="C112" s="37"/>
      <c r="D112" s="34">
        <v>420</v>
      </c>
      <c r="E112" s="34">
        <v>410</v>
      </c>
      <c r="F112" s="34">
        <v>400</v>
      </c>
      <c r="G112" s="110">
        <v>1177.05</v>
      </c>
      <c r="H112" s="110"/>
      <c r="I112" s="110">
        <f>F112+G112-H112</f>
        <v>1577.05</v>
      </c>
      <c r="J112" s="92">
        <f t="shared" ref="J112:N113" si="2">I112-J89</f>
        <v>1341.6420064250001</v>
      </c>
      <c r="K112" s="92">
        <f t="shared" si="2"/>
        <v>1106.2340128500002</v>
      </c>
      <c r="L112" s="92">
        <f t="shared" si="2"/>
        <v>870.82601927500025</v>
      </c>
      <c r="M112" s="92">
        <f t="shared" si="2"/>
        <v>635.41802570000027</v>
      </c>
      <c r="N112" s="92">
        <f t="shared" si="2"/>
        <v>400.01003212500029</v>
      </c>
    </row>
    <row r="113" spans="1:14" ht="57.6" customHeight="1" x14ac:dyDescent="0.3">
      <c r="A113" s="1"/>
      <c r="B113" s="2" t="s">
        <v>60</v>
      </c>
      <c r="C113" s="37"/>
      <c r="D113" s="34">
        <v>25</v>
      </c>
      <c r="E113" s="34">
        <v>22</v>
      </c>
      <c r="F113" s="34">
        <v>18</v>
      </c>
      <c r="G113" s="110">
        <v>56.7</v>
      </c>
      <c r="H113" s="110"/>
      <c r="I113" s="110">
        <f>F113+G113-H113</f>
        <v>74.7</v>
      </c>
      <c r="J113" s="92">
        <f t="shared" si="2"/>
        <v>63.359654677560002</v>
      </c>
      <c r="K113" s="92">
        <f t="shared" si="2"/>
        <v>52.019309355120001</v>
      </c>
      <c r="L113" s="92">
        <f t="shared" si="2"/>
        <v>40.67896403268</v>
      </c>
      <c r="M113" s="92">
        <f t="shared" si="2"/>
        <v>29.338618710240002</v>
      </c>
      <c r="N113" s="92">
        <f t="shared" si="2"/>
        <v>17.998273387800005</v>
      </c>
    </row>
    <row r="114" spans="1:14" ht="28.8" customHeight="1" x14ac:dyDescent="0.3">
      <c r="A114" s="1"/>
      <c r="B114" s="2" t="s">
        <v>126</v>
      </c>
      <c r="C114" s="37"/>
      <c r="D114" s="34">
        <v>90</v>
      </c>
      <c r="E114" s="34">
        <v>95</v>
      </c>
      <c r="F114" s="34">
        <v>100</v>
      </c>
      <c r="G114" s="110"/>
      <c r="H114" s="110"/>
      <c r="I114" s="110">
        <f>F114+G114-H114</f>
        <v>100</v>
      </c>
      <c r="J114" s="92">
        <f>I114</f>
        <v>100</v>
      </c>
      <c r="K114" s="92">
        <f>I114</f>
        <v>100</v>
      </c>
      <c r="L114" s="92">
        <f>I114</f>
        <v>100</v>
      </c>
      <c r="M114" s="92">
        <f>I114</f>
        <v>100</v>
      </c>
      <c r="N114" s="92">
        <f>I114</f>
        <v>100</v>
      </c>
    </row>
    <row r="115" spans="1:14" ht="57.6" customHeight="1" x14ac:dyDescent="0.3">
      <c r="A115" s="1"/>
      <c r="B115" s="10" t="s">
        <v>127</v>
      </c>
      <c r="C115" s="74"/>
      <c r="D115" s="35">
        <v>3405</v>
      </c>
      <c r="E115" s="35">
        <v>3527</v>
      </c>
      <c r="F115" s="35">
        <v>3648</v>
      </c>
      <c r="G115" s="110"/>
      <c r="H115" s="110"/>
      <c r="I115" s="111">
        <v>8103.06</v>
      </c>
      <c r="J115" s="95">
        <f>J110+J111+J112+J113+J114</f>
        <v>7813.15677360256</v>
      </c>
      <c r="K115" s="95">
        <f>K110+K111+K112+K113+K114</f>
        <v>7522.7382103551199</v>
      </c>
      <c r="L115" s="95">
        <f>L110+L111+L112+L113+L114</f>
        <v>7231.7141999284804</v>
      </c>
      <c r="M115" s="95">
        <f>M110+M111+M112+M113+M114</f>
        <v>6940.2020477136111</v>
      </c>
      <c r="N115" s="95">
        <f>N110+N111+N112+N113+N114</f>
        <v>6648.2495916057569</v>
      </c>
    </row>
    <row r="116" spans="1:14" ht="28.8" customHeight="1" x14ac:dyDescent="0.3">
      <c r="A116" s="1"/>
      <c r="B116" s="6" t="s">
        <v>128</v>
      </c>
      <c r="C116" s="37"/>
      <c r="D116" s="35">
        <v>4455</v>
      </c>
      <c r="E116" s="35">
        <v>4606</v>
      </c>
      <c r="F116" s="35">
        <v>4815</v>
      </c>
      <c r="G116" s="110"/>
      <c r="H116" s="110"/>
      <c r="I116" s="111">
        <v>9270.06</v>
      </c>
      <c r="J116" s="95">
        <f>J107+J115</f>
        <v>8834.7487233801603</v>
      </c>
      <c r="K116" s="95">
        <f>K107+K115</f>
        <v>8571.5347347264924</v>
      </c>
      <c r="L116" s="95">
        <f>L107+L115</f>
        <v>8312.4722130797363</v>
      </c>
      <c r="M116" s="95">
        <f>M107+M115</f>
        <v>8046.7290111936491</v>
      </c>
      <c r="N116" s="95">
        <f>N107+N115</f>
        <v>7778.0201482823559</v>
      </c>
    </row>
    <row r="117" spans="1:14" x14ac:dyDescent="0.3">
      <c r="A117" s="1"/>
      <c r="B117" s="2"/>
      <c r="C117" s="37"/>
      <c r="D117" s="63"/>
      <c r="E117" s="63"/>
      <c r="F117" s="63"/>
      <c r="G117" s="112"/>
      <c r="H117" s="112"/>
      <c r="I117" s="112"/>
      <c r="J117" s="63"/>
      <c r="K117" s="63"/>
      <c r="L117" s="63"/>
      <c r="M117" s="63"/>
      <c r="N117" s="63"/>
    </row>
    <row r="118" spans="1:14" x14ac:dyDescent="0.3">
      <c r="A118" s="1"/>
      <c r="B118" s="6"/>
      <c r="C118" s="37"/>
      <c r="D118" s="63"/>
      <c r="E118" s="63"/>
      <c r="F118" s="63"/>
      <c r="G118" s="112"/>
      <c r="H118" s="112"/>
      <c r="I118" s="112"/>
      <c r="J118" s="63"/>
      <c r="K118" s="63"/>
      <c r="L118" s="63"/>
      <c r="M118" s="63"/>
      <c r="N118" s="63"/>
    </row>
    <row r="119" spans="1:14" ht="28.8" customHeight="1" x14ac:dyDescent="0.3">
      <c r="A119" s="1"/>
      <c r="B119" s="20" t="s">
        <v>129</v>
      </c>
      <c r="C119" s="37"/>
      <c r="D119" s="63"/>
      <c r="E119" s="63"/>
      <c r="F119" s="63"/>
      <c r="G119" s="112"/>
      <c r="H119" s="112"/>
      <c r="I119" s="112"/>
      <c r="J119" s="63"/>
      <c r="K119" s="63"/>
      <c r="L119" s="63"/>
      <c r="M119" s="63"/>
      <c r="N119" s="63"/>
    </row>
    <row r="120" spans="1:14" x14ac:dyDescent="0.3">
      <c r="A120" s="1"/>
      <c r="B120" s="2" t="s">
        <v>45</v>
      </c>
      <c r="C120" s="37"/>
      <c r="D120" s="34">
        <v>50</v>
      </c>
      <c r="E120" s="34">
        <v>80</v>
      </c>
      <c r="F120" s="34">
        <v>100</v>
      </c>
      <c r="G120" s="112"/>
      <c r="H120" s="112"/>
      <c r="I120" s="112">
        <v>100</v>
      </c>
      <c r="J120" s="89">
        <v>0</v>
      </c>
      <c r="K120" s="89">
        <v>0</v>
      </c>
      <c r="L120" s="89">
        <v>0</v>
      </c>
      <c r="M120" s="89">
        <v>0</v>
      </c>
      <c r="N120" s="89">
        <v>0</v>
      </c>
    </row>
    <row r="121" spans="1:14" ht="28.8" customHeight="1" x14ac:dyDescent="0.3">
      <c r="A121" s="1"/>
      <c r="B121" s="2" t="s">
        <v>130</v>
      </c>
      <c r="C121" s="37"/>
      <c r="D121" s="34">
        <v>650</v>
      </c>
      <c r="E121" s="34">
        <v>690</v>
      </c>
      <c r="F121" s="34">
        <v>720</v>
      </c>
      <c r="G121" s="112"/>
      <c r="H121" s="112"/>
      <c r="I121" s="112">
        <v>720</v>
      </c>
      <c r="J121" s="64">
        <f>J83*J74</f>
        <v>724.90716899999995</v>
      </c>
      <c r="K121" s="64">
        <f>K83*K74</f>
        <v>745.20456973199998</v>
      </c>
      <c r="L121" s="64">
        <f>L83*L74</f>
        <v>769.05111596342408</v>
      </c>
      <c r="M121" s="64">
        <f>M83*M74</f>
        <v>788.27739386250948</v>
      </c>
      <c r="N121" s="64">
        <f>N83*N74</f>
        <v>805.61949652748478</v>
      </c>
    </row>
    <row r="122" spans="1:14" ht="43.2" customHeight="1" x14ac:dyDescent="0.3">
      <c r="A122" s="1"/>
      <c r="B122" s="2" t="s">
        <v>131</v>
      </c>
      <c r="C122" s="37"/>
      <c r="D122" s="34">
        <v>430</v>
      </c>
      <c r="E122" s="34">
        <v>460</v>
      </c>
      <c r="F122" s="34">
        <v>500</v>
      </c>
      <c r="G122" s="112"/>
      <c r="H122" s="112"/>
      <c r="I122" s="112">
        <v>500</v>
      </c>
      <c r="J122" s="64">
        <f>J86*J75</f>
        <v>488.61138279959994</v>
      </c>
      <c r="K122" s="64">
        <f>K86*K75</f>
        <v>502.2925015179888</v>
      </c>
      <c r="L122" s="64">
        <f>L86*L75</f>
        <v>518.36586156656438</v>
      </c>
      <c r="M122" s="64">
        <f>M86*M75</f>
        <v>531.32500810572844</v>
      </c>
      <c r="N122" s="64">
        <f>N86*N75</f>
        <v>543.01415828405459</v>
      </c>
    </row>
    <row r="123" spans="1:14" ht="43.2" customHeight="1" x14ac:dyDescent="0.3">
      <c r="A123" s="1"/>
      <c r="B123" s="11" t="s">
        <v>132</v>
      </c>
      <c r="C123" s="75"/>
      <c r="D123" s="35">
        <v>1130</v>
      </c>
      <c r="E123" s="35">
        <v>1230</v>
      </c>
      <c r="F123" s="35">
        <v>1320</v>
      </c>
      <c r="G123" s="112"/>
      <c r="H123" s="112"/>
      <c r="I123" s="112">
        <v>1320</v>
      </c>
      <c r="J123" s="66">
        <f>J120+J121+J122</f>
        <v>1213.5185517995999</v>
      </c>
      <c r="K123" s="66">
        <f>K120+K121+K122</f>
        <v>1247.4970712499887</v>
      </c>
      <c r="L123" s="66">
        <f>L120+L121+L122</f>
        <v>1287.4169775299883</v>
      </c>
      <c r="M123" s="66">
        <f>M120+M121+M122</f>
        <v>1319.6024019682379</v>
      </c>
      <c r="N123" s="66">
        <f>N120+N121+N122</f>
        <v>1348.6336548115394</v>
      </c>
    </row>
    <row r="124" spans="1:14" x14ac:dyDescent="0.3">
      <c r="A124" s="1"/>
      <c r="B124" s="2"/>
      <c r="C124" s="37"/>
      <c r="D124" s="63"/>
      <c r="E124" s="63"/>
      <c r="F124" s="63"/>
      <c r="G124" s="112"/>
      <c r="H124" s="112"/>
      <c r="I124" s="112"/>
      <c r="J124" s="63"/>
      <c r="K124" s="63"/>
      <c r="L124" s="63"/>
      <c r="M124" s="63"/>
      <c r="N124" s="63"/>
    </row>
    <row r="125" spans="1:14" ht="43.2" customHeight="1" x14ac:dyDescent="0.3">
      <c r="A125" s="1"/>
      <c r="B125" s="20" t="s">
        <v>133</v>
      </c>
      <c r="C125" s="37"/>
      <c r="D125" s="63"/>
      <c r="E125" s="63"/>
      <c r="F125" s="63"/>
      <c r="G125" s="112"/>
      <c r="H125" s="112"/>
      <c r="I125" s="112"/>
      <c r="J125" s="63"/>
      <c r="K125" s="63"/>
      <c r="L125" s="63"/>
      <c r="M125" s="63"/>
      <c r="N125" s="63"/>
    </row>
    <row r="126" spans="1:14" ht="57.6" customHeight="1" x14ac:dyDescent="0.3">
      <c r="A126" s="1"/>
      <c r="B126" s="2" t="s">
        <v>134</v>
      </c>
      <c r="C126" s="37"/>
      <c r="D126" s="34">
        <v>1200</v>
      </c>
      <c r="E126" s="34">
        <v>1050</v>
      </c>
      <c r="F126" s="34">
        <v>1150</v>
      </c>
      <c r="G126" s="112">
        <v>1150</v>
      </c>
      <c r="H126" s="112"/>
      <c r="I126" s="112" t="s">
        <v>107</v>
      </c>
      <c r="J126" s="64" t="s">
        <v>135</v>
      </c>
      <c r="K126" s="64" t="s">
        <v>135</v>
      </c>
      <c r="L126" s="64" t="s">
        <v>135</v>
      </c>
      <c r="M126" s="64" t="s">
        <v>135</v>
      </c>
      <c r="N126" s="64" t="s">
        <v>135</v>
      </c>
    </row>
    <row r="127" spans="1:14" ht="43.2" customHeight="1" x14ac:dyDescent="0.3">
      <c r="A127" s="1"/>
      <c r="B127" s="2" t="s">
        <v>48</v>
      </c>
      <c r="C127" s="37"/>
      <c r="D127" s="63" t="s">
        <v>107</v>
      </c>
      <c r="E127" s="63" t="s">
        <v>107</v>
      </c>
      <c r="F127" s="63" t="s">
        <v>107</v>
      </c>
      <c r="G127" s="112"/>
      <c r="H127" s="112">
        <v>793.83</v>
      </c>
      <c r="I127" s="112">
        <v>793.83</v>
      </c>
      <c r="J127" s="64">
        <f ca="1">I127-J207-J214</f>
        <v>497.86968071522267</v>
      </c>
      <c r="K127" s="64">
        <f ca="1">J127-K207-K214</f>
        <v>223.97102517803268</v>
      </c>
      <c r="L127" s="64">
        <f ca="1">K127-L207-L214</f>
        <v>0</v>
      </c>
      <c r="M127" s="64">
        <f ca="1">L127-M207-M214</f>
        <v>0</v>
      </c>
      <c r="N127" s="64">
        <f ca="1">M127-N207-N214</f>
        <v>0</v>
      </c>
    </row>
    <row r="128" spans="1:14" ht="28.8" customHeight="1" x14ac:dyDescent="0.3">
      <c r="A128" s="1"/>
      <c r="B128" s="2" t="s">
        <v>49</v>
      </c>
      <c r="C128" s="37"/>
      <c r="D128" s="63" t="s">
        <v>107</v>
      </c>
      <c r="E128" s="63" t="s">
        <v>107</v>
      </c>
      <c r="F128" s="63" t="s">
        <v>107</v>
      </c>
      <c r="G128" s="112"/>
      <c r="H128" s="112">
        <v>2494.89</v>
      </c>
      <c r="I128" s="112">
        <v>2494.89</v>
      </c>
      <c r="J128" s="64">
        <f>I128-I128*$J$34</f>
        <v>2469.9411</v>
      </c>
      <c r="K128" s="64">
        <f ca="1">J128-K208-K215</f>
        <v>2444.992340290632</v>
      </c>
      <c r="L128" s="64">
        <f ca="1">K128-L208-L215</f>
        <v>2361.3640667069717</v>
      </c>
      <c r="M128" s="64">
        <f ca="1">L128-M208-M215</f>
        <v>2051.7819072931675</v>
      </c>
      <c r="N128" s="64">
        <f ca="1">M128-N208-N215</f>
        <v>1736.6403457795113</v>
      </c>
    </row>
    <row r="129" spans="1:14" ht="43.2" customHeight="1" x14ac:dyDescent="0.3">
      <c r="A129" s="1"/>
      <c r="B129" s="2" t="s">
        <v>51</v>
      </c>
      <c r="C129" s="37"/>
      <c r="D129" s="63" t="s">
        <v>107</v>
      </c>
      <c r="E129" s="63" t="s">
        <v>107</v>
      </c>
      <c r="F129" s="63" t="s">
        <v>107</v>
      </c>
      <c r="G129" s="112"/>
      <c r="H129" s="112">
        <v>226.81</v>
      </c>
      <c r="I129" s="112">
        <v>226.81</v>
      </c>
      <c r="J129" s="64">
        <f>$I$129</f>
        <v>226.81</v>
      </c>
      <c r="K129" s="64">
        <f>$I$129</f>
        <v>226.81</v>
      </c>
      <c r="L129" s="64">
        <f>$I$129</f>
        <v>226.81</v>
      </c>
      <c r="M129" s="64">
        <f>$I$129</f>
        <v>226.81</v>
      </c>
      <c r="N129" s="64">
        <f>$I$129</f>
        <v>226.81</v>
      </c>
    </row>
    <row r="130" spans="1:14" ht="72" customHeight="1" x14ac:dyDescent="0.3">
      <c r="A130" s="1"/>
      <c r="B130" s="2" t="s">
        <v>136</v>
      </c>
      <c r="C130" s="37"/>
      <c r="D130" s="34">
        <v>250</v>
      </c>
      <c r="E130" s="34">
        <v>270</v>
      </c>
      <c r="F130" s="34">
        <v>300</v>
      </c>
      <c r="G130" s="112">
        <v>300</v>
      </c>
      <c r="H130" s="112">
        <v>1140.17</v>
      </c>
      <c r="I130" s="112">
        <v>1140.17</v>
      </c>
      <c r="J130" s="64">
        <f>I130</f>
        <v>1140.17</v>
      </c>
      <c r="K130" s="64">
        <f>I130</f>
        <v>1140.17</v>
      </c>
      <c r="L130" s="64">
        <f>I130</f>
        <v>1140.17</v>
      </c>
      <c r="M130" s="64">
        <f>I130</f>
        <v>1140.17</v>
      </c>
      <c r="N130" s="64">
        <f>I130</f>
        <v>1140.17</v>
      </c>
    </row>
    <row r="131" spans="1:14" ht="57.6" customHeight="1" x14ac:dyDescent="0.3">
      <c r="A131" s="1"/>
      <c r="B131" s="7" t="s">
        <v>137</v>
      </c>
      <c r="C131" s="71"/>
      <c r="D131" s="34">
        <v>235</v>
      </c>
      <c r="E131" s="34">
        <v>360</v>
      </c>
      <c r="F131" s="34">
        <v>353</v>
      </c>
      <c r="G131" s="112"/>
      <c r="H131" s="112"/>
      <c r="I131" s="112">
        <v>353</v>
      </c>
      <c r="J131" s="64">
        <f>I131</f>
        <v>353</v>
      </c>
      <c r="K131" s="64">
        <f>I131</f>
        <v>353</v>
      </c>
      <c r="L131" s="64">
        <f>I131</f>
        <v>353</v>
      </c>
      <c r="M131" s="64">
        <f>I131</f>
        <v>353</v>
      </c>
      <c r="N131" s="64">
        <f>I131</f>
        <v>353</v>
      </c>
    </row>
    <row r="132" spans="1:14" ht="57.6" customHeight="1" x14ac:dyDescent="0.3">
      <c r="A132" s="1"/>
      <c r="B132" s="5" t="s">
        <v>138</v>
      </c>
      <c r="C132" s="71"/>
      <c r="D132" s="35">
        <v>1685</v>
      </c>
      <c r="E132" s="35">
        <v>1680</v>
      </c>
      <c r="F132" s="35">
        <v>1803</v>
      </c>
      <c r="G132" s="112"/>
      <c r="H132" s="112"/>
      <c r="I132" s="113">
        <v>5008.7</v>
      </c>
      <c r="J132" s="66">
        <f ca="1">J126+J127+J128+J129+J130+J131</f>
        <v>4687.7907807152224</v>
      </c>
      <c r="K132" s="66">
        <f ca="1">K126+K127+K128+K129+K130+K131</f>
        <v>4388.9433654686645</v>
      </c>
      <c r="L132" s="66">
        <f ca="1">L126+L127+L128+L129+L130+L131</f>
        <v>4081.3440667069717</v>
      </c>
      <c r="M132" s="66">
        <f ca="1">M126+M127+M128+M129+M130+M131</f>
        <v>3771.7619072931675</v>
      </c>
      <c r="N132" s="66">
        <f ca="1">N126+N127+N128+N129+N130+N131</f>
        <v>3456.6203457795114</v>
      </c>
    </row>
    <row r="133" spans="1:14" ht="28.8" customHeight="1" x14ac:dyDescent="0.3">
      <c r="A133" s="1"/>
      <c r="B133" s="6" t="s">
        <v>139</v>
      </c>
      <c r="C133" s="37"/>
      <c r="D133" s="35">
        <v>2815</v>
      </c>
      <c r="E133" s="35">
        <v>2910</v>
      </c>
      <c r="F133" s="35">
        <v>3123</v>
      </c>
      <c r="G133" s="112"/>
      <c r="H133" s="112"/>
      <c r="I133" s="113">
        <v>6328.7</v>
      </c>
      <c r="J133" s="66">
        <f ca="1">J123+J132</f>
        <v>5901.309332514822</v>
      </c>
      <c r="K133" s="66">
        <f ca="1">K123+K132</f>
        <v>5636.4404367186535</v>
      </c>
      <c r="L133" s="66">
        <f ca="1">L123+L132</f>
        <v>5368.7610442369605</v>
      </c>
      <c r="M133" s="66">
        <f ca="1">M123+M132</f>
        <v>5091.3643092614057</v>
      </c>
      <c r="N133" s="66">
        <f ca="1">N123+N132</f>
        <v>4805.2540005910505</v>
      </c>
    </row>
    <row r="134" spans="1:14" x14ac:dyDescent="0.3">
      <c r="A134" s="1"/>
      <c r="B134" s="2"/>
      <c r="C134" s="37"/>
      <c r="D134" s="42"/>
      <c r="E134" s="42"/>
      <c r="F134" s="42"/>
      <c r="G134" s="114"/>
      <c r="H134" s="115"/>
      <c r="I134" s="115"/>
      <c r="J134" s="100"/>
      <c r="K134" s="101"/>
      <c r="L134" s="101"/>
      <c r="M134" s="101"/>
      <c r="N134" s="101"/>
    </row>
    <row r="135" spans="1:14" ht="43.2" customHeight="1" x14ac:dyDescent="0.3">
      <c r="A135" s="1"/>
      <c r="B135" s="20" t="s">
        <v>140</v>
      </c>
      <c r="C135" s="37"/>
      <c r="D135" s="42"/>
      <c r="E135" s="42"/>
      <c r="F135" s="42"/>
      <c r="G135" s="116"/>
      <c r="H135" s="115"/>
      <c r="I135" s="117"/>
      <c r="J135" s="101"/>
      <c r="K135" s="101"/>
      <c r="L135" s="101"/>
      <c r="M135" s="101"/>
      <c r="N135" s="101"/>
    </row>
    <row r="136" spans="1:14" ht="42.6" customHeight="1" x14ac:dyDescent="0.3">
      <c r="A136" s="1"/>
      <c r="B136" s="2" t="s">
        <v>141</v>
      </c>
      <c r="C136" s="37"/>
      <c r="D136" s="34">
        <v>10</v>
      </c>
      <c r="E136" s="34">
        <v>5</v>
      </c>
      <c r="F136" s="34">
        <v>5</v>
      </c>
      <c r="G136" s="112">
        <v>5</v>
      </c>
      <c r="H136" s="112"/>
      <c r="I136" s="112">
        <v>0</v>
      </c>
      <c r="J136" s="64" t="s">
        <v>135</v>
      </c>
      <c r="K136" s="64" t="s">
        <v>135</v>
      </c>
      <c r="L136" s="64" t="s">
        <v>135</v>
      </c>
      <c r="M136" s="64" t="s">
        <v>135</v>
      </c>
      <c r="N136" s="64" t="s">
        <v>135</v>
      </c>
    </row>
    <row r="137" spans="1:14" ht="43.2" customHeight="1" x14ac:dyDescent="0.3">
      <c r="A137" s="1"/>
      <c r="B137" s="2" t="s">
        <v>142</v>
      </c>
      <c r="C137" s="37"/>
      <c r="D137" s="34">
        <v>640</v>
      </c>
      <c r="E137" s="34">
        <v>657</v>
      </c>
      <c r="F137" s="34">
        <v>675</v>
      </c>
      <c r="G137" s="112">
        <v>675</v>
      </c>
      <c r="H137" s="112"/>
      <c r="I137" s="112">
        <v>0</v>
      </c>
      <c r="J137" s="64" t="s">
        <v>135</v>
      </c>
      <c r="K137" s="64" t="s">
        <v>135</v>
      </c>
      <c r="L137" s="64" t="s">
        <v>135</v>
      </c>
      <c r="M137" s="64" t="s">
        <v>135</v>
      </c>
      <c r="N137" s="64" t="s">
        <v>135</v>
      </c>
    </row>
    <row r="138" spans="1:14" ht="28.8" customHeight="1" x14ac:dyDescent="0.3">
      <c r="A138" s="1"/>
      <c r="B138" s="2" t="s">
        <v>143</v>
      </c>
      <c r="C138" s="37"/>
      <c r="D138" s="34">
        <v>-350</v>
      </c>
      <c r="E138" s="34">
        <v>-380</v>
      </c>
      <c r="F138" s="34">
        <v>-450</v>
      </c>
      <c r="G138" s="112">
        <v>-450</v>
      </c>
      <c r="H138" s="112"/>
      <c r="I138" s="112">
        <v>0</v>
      </c>
      <c r="J138" s="64" t="s">
        <v>135</v>
      </c>
      <c r="K138" s="64" t="s">
        <v>135</v>
      </c>
      <c r="L138" s="64" t="s">
        <v>135</v>
      </c>
      <c r="M138" s="64" t="s">
        <v>135</v>
      </c>
      <c r="N138" s="64" t="s">
        <v>135</v>
      </c>
    </row>
    <row r="139" spans="1:14" ht="43.2" customHeight="1" x14ac:dyDescent="0.3">
      <c r="A139" s="1"/>
      <c r="B139" s="2" t="s">
        <v>144</v>
      </c>
      <c r="C139" s="37"/>
      <c r="D139" s="63" t="s">
        <v>107</v>
      </c>
      <c r="E139" s="63" t="s">
        <v>107</v>
      </c>
      <c r="F139" s="63" t="s">
        <v>107</v>
      </c>
      <c r="G139" s="112">
        <v>0</v>
      </c>
      <c r="H139" s="112">
        <v>2972.12</v>
      </c>
      <c r="I139" s="112">
        <v>2972.12</v>
      </c>
      <c r="J139" s="64">
        <f>I139</f>
        <v>2972.12</v>
      </c>
      <c r="K139" s="64">
        <f>I139</f>
        <v>2972.12</v>
      </c>
      <c r="L139" s="64">
        <f>I139</f>
        <v>2972.12</v>
      </c>
      <c r="M139" s="64">
        <f>I139</f>
        <v>2972.12</v>
      </c>
      <c r="N139" s="64">
        <f>I139</f>
        <v>2972.12</v>
      </c>
    </row>
    <row r="140" spans="1:14" ht="28.8" customHeight="1" x14ac:dyDescent="0.3">
      <c r="A140" s="1"/>
      <c r="B140" s="7" t="s">
        <v>145</v>
      </c>
      <c r="C140" s="71"/>
      <c r="D140" s="34">
        <v>1340</v>
      </c>
      <c r="E140" s="34">
        <v>1414</v>
      </c>
      <c r="F140" s="34">
        <v>1462</v>
      </c>
      <c r="G140" s="112">
        <v>1493</v>
      </c>
      <c r="H140" s="112"/>
      <c r="I140" s="112">
        <v>-30.75</v>
      </c>
      <c r="J140" s="64">
        <f ca="1">I140+J97</f>
        <v>-38.670749425294545</v>
      </c>
      <c r="K140" s="64">
        <f ca="1">J140+K97</f>
        <v>-37.015842282792534</v>
      </c>
      <c r="L140" s="64">
        <f ca="1">K140+L97</f>
        <v>-28.398971447855047</v>
      </c>
      <c r="M140" s="64">
        <f ca="1">L140+M97</f>
        <v>-16.74543835838891</v>
      </c>
      <c r="N140" s="64">
        <f ca="1">M140+N97</f>
        <v>0.65600740067343111</v>
      </c>
    </row>
    <row r="141" spans="1:14" ht="57.6" customHeight="1" x14ac:dyDescent="0.3">
      <c r="A141" s="1"/>
      <c r="B141" s="6" t="s">
        <v>146</v>
      </c>
      <c r="C141" s="37"/>
      <c r="D141" s="35">
        <v>1640</v>
      </c>
      <c r="E141" s="35">
        <v>1696</v>
      </c>
      <c r="F141" s="35">
        <v>1692</v>
      </c>
      <c r="G141" s="112"/>
      <c r="H141" s="112"/>
      <c r="I141" s="113">
        <v>2941.37</v>
      </c>
      <c r="J141" s="66">
        <f ca="1">J136+J137+J138+J139+J140</f>
        <v>2933.4492505747053</v>
      </c>
      <c r="K141" s="66">
        <f ca="1">K136+K137+K138+K139+K140</f>
        <v>2935.1041577172073</v>
      </c>
      <c r="L141" s="66">
        <f ca="1">L136+L137+L138+L139+L140</f>
        <v>2943.7210285521451</v>
      </c>
      <c r="M141" s="66">
        <f ca="1">M136+M137+M138+M139+M140</f>
        <v>2955.3745616416109</v>
      </c>
      <c r="N141" s="66">
        <f ca="1">N136+N137+N138+N139+N140</f>
        <v>2972.7760074006733</v>
      </c>
    </row>
    <row r="142" spans="1:14" x14ac:dyDescent="0.3">
      <c r="A142" s="1"/>
      <c r="B142" s="2"/>
      <c r="C142" s="37"/>
      <c r="D142" s="63"/>
      <c r="E142" s="63"/>
      <c r="F142" s="63"/>
      <c r="G142" s="112"/>
      <c r="H142" s="112"/>
      <c r="I142" s="112"/>
      <c r="J142" s="64"/>
      <c r="K142" s="64"/>
      <c r="L142" s="64"/>
      <c r="M142" s="64"/>
      <c r="N142" s="64"/>
    </row>
    <row r="143" spans="1:14" ht="43.2" customHeight="1" x14ac:dyDescent="0.3">
      <c r="A143" s="1"/>
      <c r="B143" s="6" t="s">
        <v>147</v>
      </c>
      <c r="C143" s="37"/>
      <c r="D143" s="35">
        <v>4455</v>
      </c>
      <c r="E143" s="35">
        <v>4606</v>
      </c>
      <c r="F143" s="35">
        <v>4815</v>
      </c>
      <c r="G143" s="113"/>
      <c r="H143" s="113"/>
      <c r="I143" s="113">
        <v>9270.06</v>
      </c>
      <c r="J143" s="66">
        <f ca="1">J133+J141</f>
        <v>8834.7585830895277</v>
      </c>
      <c r="K143" s="66">
        <f ca="1">K133+K141</f>
        <v>8571.5445944358617</v>
      </c>
      <c r="L143" s="66">
        <f ca="1">L133+L141</f>
        <v>8312.4820727891056</v>
      </c>
      <c r="M143" s="66">
        <f ca="1">M133+M141</f>
        <v>8046.7388709030165</v>
      </c>
      <c r="N143" s="66">
        <f ca="1">N133+N141</f>
        <v>7778.0300079917233</v>
      </c>
    </row>
    <row r="144" spans="1:14" x14ac:dyDescent="0.3">
      <c r="A144" s="1"/>
      <c r="B144" s="2"/>
      <c r="C144" s="37"/>
      <c r="D144" s="63"/>
      <c r="E144" s="63"/>
      <c r="F144" s="63"/>
      <c r="G144" s="63"/>
      <c r="H144" s="63"/>
      <c r="I144" s="63"/>
      <c r="J144" s="64"/>
      <c r="K144" s="64"/>
      <c r="L144" s="64"/>
      <c r="M144" s="64"/>
      <c r="N144" s="64"/>
    </row>
    <row r="145" spans="1:14" ht="28.8" customHeight="1" x14ac:dyDescent="0.3">
      <c r="A145" s="1"/>
      <c r="B145" s="12" t="s">
        <v>148</v>
      </c>
      <c r="C145" s="37"/>
      <c r="D145" s="90">
        <v>0</v>
      </c>
      <c r="E145" s="90">
        <v>0</v>
      </c>
      <c r="F145" s="90">
        <v>0</v>
      </c>
      <c r="G145" s="76"/>
      <c r="H145" s="76"/>
      <c r="I145" s="76" t="s">
        <v>107</v>
      </c>
      <c r="J145" s="102">
        <f ca="1">J116-J143</f>
        <v>-9.8597093674470671E-3</v>
      </c>
      <c r="K145" s="102">
        <f ca="1">K116-K143</f>
        <v>-9.8597093692660565E-3</v>
      </c>
      <c r="L145" s="102">
        <f ca="1">L116-L143</f>
        <v>-9.8597093692660565E-3</v>
      </c>
      <c r="M145" s="102">
        <f ca="1">M116-M143</f>
        <v>-9.8597093674470671E-3</v>
      </c>
      <c r="N145" s="102">
        <f ca="1">N116-N143</f>
        <v>-9.8597093674470671E-3</v>
      </c>
    </row>
    <row r="146" spans="1:14" x14ac:dyDescent="0.3">
      <c r="A146" s="1"/>
      <c r="B146" s="2"/>
      <c r="C146" s="37"/>
      <c r="D146" s="37"/>
      <c r="E146" s="37"/>
      <c r="F146" s="37"/>
      <c r="G146" s="37"/>
      <c r="H146" s="37"/>
      <c r="I146" s="37"/>
      <c r="J146" s="103"/>
      <c r="K146" s="103"/>
      <c r="L146" s="103"/>
      <c r="M146" s="103"/>
      <c r="N146" s="103"/>
    </row>
    <row r="147" spans="1:14" ht="19.95" customHeight="1" x14ac:dyDescent="0.3">
      <c r="A147" s="1"/>
      <c r="B147" s="19" t="s">
        <v>149</v>
      </c>
      <c r="C147" s="36"/>
      <c r="D147" s="36"/>
      <c r="E147" s="36"/>
      <c r="F147" s="36"/>
      <c r="G147" s="36"/>
      <c r="H147" s="36"/>
      <c r="I147" s="36"/>
      <c r="J147" s="104"/>
      <c r="K147" s="104"/>
      <c r="L147" s="104"/>
      <c r="M147" s="104"/>
      <c r="N147" s="104"/>
    </row>
    <row r="148" spans="1:14" ht="14.4" customHeight="1" x14ac:dyDescent="0.3">
      <c r="A148" s="1"/>
      <c r="B148" s="2"/>
      <c r="C148" s="37"/>
      <c r="D148" s="120" t="s">
        <v>85</v>
      </c>
      <c r="E148" s="121"/>
      <c r="F148" s="121"/>
      <c r="G148" s="120" t="s">
        <v>2</v>
      </c>
      <c r="H148" s="121"/>
      <c r="I148" s="121"/>
      <c r="J148" s="122" t="s">
        <v>87</v>
      </c>
      <c r="K148" s="123"/>
      <c r="L148" s="123"/>
      <c r="M148" s="123"/>
      <c r="N148" s="123"/>
    </row>
    <row r="149" spans="1:14" x14ac:dyDescent="0.3">
      <c r="A149" s="1"/>
      <c r="B149" s="2"/>
      <c r="C149" s="37"/>
      <c r="D149" s="55">
        <v>2012</v>
      </c>
      <c r="E149" s="55">
        <v>2013</v>
      </c>
      <c r="F149" s="55">
        <v>2014</v>
      </c>
      <c r="G149" s="55" t="s">
        <v>88</v>
      </c>
      <c r="H149" s="55" t="s">
        <v>89</v>
      </c>
      <c r="I149" s="55">
        <v>2014</v>
      </c>
      <c r="J149" s="105">
        <v>2015</v>
      </c>
      <c r="K149" s="105">
        <v>2016</v>
      </c>
      <c r="L149" s="105">
        <v>2017</v>
      </c>
      <c r="M149" s="105">
        <v>2018</v>
      </c>
      <c r="N149" s="105">
        <v>2019</v>
      </c>
    </row>
    <row r="150" spans="1:14" ht="28.8" customHeight="1" x14ac:dyDescent="0.3">
      <c r="A150" s="1"/>
      <c r="B150" s="13" t="s">
        <v>114</v>
      </c>
      <c r="C150" s="37"/>
      <c r="D150" s="61"/>
      <c r="E150" s="61"/>
      <c r="F150" s="61"/>
      <c r="G150" s="61"/>
      <c r="H150" s="61"/>
      <c r="I150" s="61"/>
      <c r="J150" s="62">
        <f ca="1">J97</f>
        <v>-7.9207494252945487</v>
      </c>
      <c r="K150" s="62">
        <f ca="1">K97</f>
        <v>1.6549071425020085</v>
      </c>
      <c r="L150" s="62">
        <f ca="1">L97</f>
        <v>8.6168708349374867</v>
      </c>
      <c r="M150" s="62">
        <f ca="1">M97</f>
        <v>11.653533089466137</v>
      </c>
      <c r="N150" s="62">
        <f ca="1">N97</f>
        <v>17.401445759062341</v>
      </c>
    </row>
    <row r="151" spans="1:14" ht="57.6" customHeight="1" x14ac:dyDescent="0.3">
      <c r="A151" s="1"/>
      <c r="B151" s="8" t="s">
        <v>150</v>
      </c>
      <c r="C151" s="37"/>
      <c r="D151" s="63"/>
      <c r="E151" s="63"/>
      <c r="F151" s="63"/>
      <c r="G151" s="63"/>
      <c r="H151" s="63"/>
      <c r="I151" s="63"/>
      <c r="J151" s="64">
        <f t="shared" ref="J151:N154" si="3">J87</f>
        <v>170.55195749999996</v>
      </c>
      <c r="K151" s="64">
        <f t="shared" si="3"/>
        <v>175.32741230999997</v>
      </c>
      <c r="L151" s="64">
        <f t="shared" si="3"/>
        <v>180.93788950391999</v>
      </c>
      <c r="M151" s="64">
        <f t="shared" si="3"/>
        <v>185.46133674151795</v>
      </c>
      <c r="N151" s="64">
        <f t="shared" si="3"/>
        <v>189.54148614983137</v>
      </c>
    </row>
    <row r="152" spans="1:14" ht="49.8" customHeight="1" x14ac:dyDescent="0.3">
      <c r="A152" s="1"/>
      <c r="B152" s="8" t="s">
        <v>151</v>
      </c>
      <c r="C152" s="37"/>
      <c r="D152" s="63"/>
      <c r="E152" s="63"/>
      <c r="F152" s="63"/>
      <c r="G152" s="63"/>
      <c r="H152" s="63"/>
      <c r="I152" s="63"/>
      <c r="J152" s="64">
        <f t="shared" si="3"/>
        <v>24.75</v>
      </c>
      <c r="K152" s="64">
        <f t="shared" si="3"/>
        <v>24.75</v>
      </c>
      <c r="L152" s="64">
        <f t="shared" si="3"/>
        <v>24.75</v>
      </c>
      <c r="M152" s="64">
        <f t="shared" si="3"/>
        <v>24.75</v>
      </c>
      <c r="N152" s="64">
        <f t="shared" si="3"/>
        <v>24.75</v>
      </c>
    </row>
    <row r="153" spans="1:14" ht="46.2" customHeight="1" x14ac:dyDescent="0.3">
      <c r="A153" s="1"/>
      <c r="B153" s="8" t="s">
        <v>152</v>
      </c>
      <c r="C153" s="37"/>
      <c r="D153" s="63"/>
      <c r="E153" s="63"/>
      <c r="F153" s="63"/>
      <c r="G153" s="63"/>
      <c r="H153" s="63"/>
      <c r="I153" s="63"/>
      <c r="J153" s="64">
        <f t="shared" si="3"/>
        <v>235.40799357499995</v>
      </c>
      <c r="K153" s="64">
        <f t="shared" si="3"/>
        <v>235.40799357499995</v>
      </c>
      <c r="L153" s="64">
        <f t="shared" si="3"/>
        <v>235.40799357499995</v>
      </c>
      <c r="M153" s="64">
        <f t="shared" si="3"/>
        <v>235.40799357499995</v>
      </c>
      <c r="N153" s="64">
        <f t="shared" si="3"/>
        <v>235.40799357499995</v>
      </c>
    </row>
    <row r="154" spans="1:14" x14ac:dyDescent="0.3">
      <c r="A154" s="1"/>
      <c r="B154" s="8" t="s">
        <v>153</v>
      </c>
      <c r="C154" s="37"/>
      <c r="D154" s="63"/>
      <c r="E154" s="63"/>
      <c r="F154" s="63"/>
      <c r="G154" s="63"/>
      <c r="H154" s="63"/>
      <c r="I154" s="63"/>
      <c r="J154" s="64">
        <f t="shared" si="3"/>
        <v>11.340345322439997</v>
      </c>
      <c r="K154" s="64">
        <f t="shared" si="3"/>
        <v>11.340345322439997</v>
      </c>
      <c r="L154" s="64">
        <f t="shared" si="3"/>
        <v>11.340345322439997</v>
      </c>
      <c r="M154" s="64">
        <f t="shared" si="3"/>
        <v>11.340345322439997</v>
      </c>
      <c r="N154" s="64">
        <f t="shared" si="3"/>
        <v>11.340345322439997</v>
      </c>
    </row>
    <row r="155" spans="1:14" ht="49.8" customHeight="1" x14ac:dyDescent="0.3">
      <c r="A155" s="1"/>
      <c r="B155" s="20" t="s">
        <v>154</v>
      </c>
      <c r="C155" s="37"/>
      <c r="D155" s="63"/>
      <c r="E155" s="63"/>
      <c r="F155" s="63"/>
      <c r="G155" s="63"/>
      <c r="H155" s="63"/>
      <c r="I155" s="63"/>
      <c r="J155" s="64"/>
      <c r="K155" s="64"/>
      <c r="L155" s="64"/>
      <c r="M155" s="64"/>
      <c r="N155" s="64"/>
    </row>
    <row r="156" spans="1:14" x14ac:dyDescent="0.3">
      <c r="A156" s="1"/>
      <c r="B156" s="8" t="s">
        <v>119</v>
      </c>
      <c r="C156" s="37"/>
      <c r="D156" s="63"/>
      <c r="E156" s="63"/>
      <c r="F156" s="63"/>
      <c r="G156" s="63"/>
      <c r="H156" s="63"/>
      <c r="I156" s="63"/>
      <c r="J156" s="64">
        <f t="shared" ref="J156:N157" si="4">-(J105-I105)</f>
        <v>3.9947561500001711</v>
      </c>
      <c r="K156" s="64">
        <f t="shared" si="4"/>
        <v>-22.428146827799992</v>
      </c>
      <c r="L156" s="64">
        <f t="shared" si="4"/>
        <v>-26.349868501689684</v>
      </c>
      <c r="M156" s="64">
        <f t="shared" si="4"/>
        <v>-21.244581479487124</v>
      </c>
      <c r="N156" s="64">
        <f t="shared" si="4"/>
        <v>-19.16261249449758</v>
      </c>
    </row>
    <row r="157" spans="1:14" x14ac:dyDescent="0.3">
      <c r="A157" s="1"/>
      <c r="B157" s="8" t="s">
        <v>120</v>
      </c>
      <c r="C157" s="37"/>
      <c r="D157" s="63"/>
      <c r="E157" s="63"/>
      <c r="F157" s="63"/>
      <c r="G157" s="63"/>
      <c r="H157" s="63"/>
      <c r="I157" s="63"/>
      <c r="J157" s="64">
        <f t="shared" si="4"/>
        <v>-0.58670592760000773</v>
      </c>
      <c r="K157" s="64">
        <f t="shared" si="4"/>
        <v>-4.7764277659728123</v>
      </c>
      <c r="L157" s="64">
        <f t="shared" si="4"/>
        <v>-5.611620278194323</v>
      </c>
      <c r="M157" s="64">
        <f t="shared" si="4"/>
        <v>-4.5243688492941772</v>
      </c>
      <c r="N157" s="64">
        <f t="shared" si="4"/>
        <v>-4.0809807020633571</v>
      </c>
    </row>
    <row r="158" spans="1:14" x14ac:dyDescent="0.3">
      <c r="A158" s="1"/>
      <c r="B158" s="8" t="s">
        <v>155</v>
      </c>
      <c r="C158" s="37"/>
      <c r="D158" s="63"/>
      <c r="E158" s="63"/>
      <c r="F158" s="63"/>
      <c r="G158" s="63"/>
      <c r="H158" s="63"/>
      <c r="I158" s="63"/>
      <c r="J158" s="64">
        <f t="shared" ref="J158:N159" si="5">J121-I121</f>
        <v>4.9071689999999535</v>
      </c>
      <c r="K158" s="64">
        <f t="shared" si="5"/>
        <v>20.297400732000028</v>
      </c>
      <c r="L158" s="64">
        <f t="shared" si="5"/>
        <v>23.846546231424099</v>
      </c>
      <c r="M158" s="64">
        <f t="shared" si="5"/>
        <v>19.226277899085403</v>
      </c>
      <c r="N158" s="64">
        <f t="shared" si="5"/>
        <v>17.3421026649753</v>
      </c>
    </row>
    <row r="159" spans="1:14" x14ac:dyDescent="0.3">
      <c r="A159" s="1"/>
      <c r="B159" s="14" t="s">
        <v>131</v>
      </c>
      <c r="C159" s="71"/>
      <c r="D159" s="63"/>
      <c r="E159" s="63"/>
      <c r="F159" s="63"/>
      <c r="G159" s="63"/>
      <c r="H159" s="63"/>
      <c r="I159" s="63"/>
      <c r="J159" s="64">
        <f t="shared" si="5"/>
        <v>-11.388617200400063</v>
      </c>
      <c r="K159" s="64">
        <f t="shared" si="5"/>
        <v>13.681118718388859</v>
      </c>
      <c r="L159" s="64">
        <f t="shared" si="5"/>
        <v>16.07336004857558</v>
      </c>
      <c r="M159" s="64">
        <f t="shared" si="5"/>
        <v>12.959146539164067</v>
      </c>
      <c r="N159" s="64">
        <f t="shared" si="5"/>
        <v>11.689150178326145</v>
      </c>
    </row>
    <row r="160" spans="1:14" ht="50.4" customHeight="1" x14ac:dyDescent="0.3">
      <c r="A160" s="1"/>
      <c r="B160" s="13" t="s">
        <v>156</v>
      </c>
      <c r="C160" s="37"/>
      <c r="D160" s="63"/>
      <c r="E160" s="63"/>
      <c r="F160" s="63"/>
      <c r="G160" s="63"/>
      <c r="H160" s="63"/>
      <c r="I160" s="63"/>
      <c r="J160" s="64">
        <f ca="1">J150+J151+J152+J153+J154+J156+J157+J158+J159</f>
        <v>431.05614899414536</v>
      </c>
      <c r="K160" s="64">
        <f ca="1">K150+K151+K152+K153+K154+K156+K157+K158+K159</f>
        <v>455.25460320655799</v>
      </c>
      <c r="L160" s="64">
        <f ca="1">L150+L151+L152+L153+L154+L156+L157+L158+L159</f>
        <v>469.01151673641311</v>
      </c>
      <c r="M160" s="64">
        <f ca="1">M150+M151+M152+M153+M154+M156+M157+M158+M159</f>
        <v>475.02968283789221</v>
      </c>
      <c r="N160" s="64">
        <f ca="1">N150+N151+N152+N153+N154+N156+N157+N158+N159</f>
        <v>484.22893045307416</v>
      </c>
    </row>
    <row r="161" spans="1:14" x14ac:dyDescent="0.3">
      <c r="A161" s="1"/>
      <c r="B161" s="2"/>
      <c r="C161" s="37"/>
      <c r="D161" s="63"/>
      <c r="E161" s="63"/>
      <c r="F161" s="63"/>
      <c r="G161" s="63"/>
      <c r="H161" s="63"/>
      <c r="I161" s="63"/>
      <c r="J161" s="64"/>
      <c r="K161" s="64"/>
      <c r="L161" s="64"/>
      <c r="M161" s="64"/>
      <c r="N161" s="64"/>
    </row>
    <row r="162" spans="1:14" x14ac:dyDescent="0.3">
      <c r="A162" s="1"/>
      <c r="B162" s="14" t="s">
        <v>157</v>
      </c>
      <c r="C162" s="71"/>
      <c r="D162" s="63"/>
      <c r="E162" s="63"/>
      <c r="F162" s="63"/>
      <c r="G162" s="63"/>
      <c r="H162" s="63"/>
      <c r="I162" s="63"/>
      <c r="J162" s="64">
        <f>-J82*J77</f>
        <v>-152.14706999999999</v>
      </c>
      <c r="K162" s="64">
        <f>-K82*K77</f>
        <v>-156.40718795999999</v>
      </c>
      <c r="L162" s="64">
        <f>-L82*L77</f>
        <v>-161.41221797471999</v>
      </c>
      <c r="M162" s="64">
        <f>-M82*M77</f>
        <v>-165.44752342408796</v>
      </c>
      <c r="N162" s="64">
        <f>-N82*N77</f>
        <v>-169.08736893941793</v>
      </c>
    </row>
    <row r="163" spans="1:14" x14ac:dyDescent="0.3">
      <c r="A163" s="1"/>
      <c r="B163" s="13" t="s">
        <v>158</v>
      </c>
      <c r="C163" s="37"/>
      <c r="D163" s="63"/>
      <c r="E163" s="63"/>
      <c r="F163" s="63"/>
      <c r="G163" s="63"/>
      <c r="H163" s="63"/>
      <c r="I163" s="63"/>
      <c r="J163" s="64">
        <f>J162</f>
        <v>-152.14706999999999</v>
      </c>
      <c r="K163" s="64">
        <f>K162</f>
        <v>-156.40718795999999</v>
      </c>
      <c r="L163" s="64">
        <f>L162</f>
        <v>-161.41221797471999</v>
      </c>
      <c r="M163" s="64">
        <f>M162</f>
        <v>-165.44752342408796</v>
      </c>
      <c r="N163" s="64">
        <f>N162</f>
        <v>-169.08736893941793</v>
      </c>
    </row>
    <row r="164" spans="1:14" x14ac:dyDescent="0.3">
      <c r="A164" s="1"/>
      <c r="B164" s="2"/>
      <c r="C164" s="37"/>
      <c r="D164" s="63"/>
      <c r="E164" s="63"/>
      <c r="F164" s="63"/>
      <c r="G164" s="63"/>
      <c r="H164" s="63"/>
      <c r="I164" s="63"/>
      <c r="J164" s="64"/>
      <c r="K164" s="64"/>
      <c r="L164" s="64"/>
      <c r="M164" s="64"/>
      <c r="N164" s="64"/>
    </row>
    <row r="165" spans="1:14" x14ac:dyDescent="0.3">
      <c r="A165" s="1"/>
      <c r="B165" s="13" t="s">
        <v>159</v>
      </c>
      <c r="C165" s="37"/>
      <c r="D165" s="63"/>
      <c r="E165" s="63"/>
      <c r="F165" s="63"/>
      <c r="G165" s="63"/>
      <c r="H165" s="63"/>
      <c r="I165" s="63"/>
      <c r="J165" s="64">
        <f ca="1">J160+J163</f>
        <v>278.90907899414537</v>
      </c>
      <c r="K165" s="64">
        <f ca="1">K160+K163</f>
        <v>298.847415246558</v>
      </c>
      <c r="L165" s="64">
        <f ca="1">L160+L163</f>
        <v>307.59929876169315</v>
      </c>
      <c r="M165" s="64">
        <f ca="1">M160+M163</f>
        <v>309.58215941380422</v>
      </c>
      <c r="N165" s="64">
        <f ca="1">N160+N163</f>
        <v>315.14156151365626</v>
      </c>
    </row>
    <row r="166" spans="1:14" x14ac:dyDescent="0.3">
      <c r="A166" s="1"/>
      <c r="B166" s="2"/>
      <c r="C166" s="37"/>
      <c r="D166" s="63"/>
      <c r="E166" s="63"/>
      <c r="F166" s="63"/>
      <c r="G166" s="63"/>
      <c r="H166" s="63"/>
      <c r="I166" s="63"/>
      <c r="J166" s="64"/>
      <c r="K166" s="64"/>
      <c r="L166" s="64"/>
      <c r="M166" s="64"/>
      <c r="N166" s="64"/>
    </row>
    <row r="167" spans="1:14" x14ac:dyDescent="0.3">
      <c r="A167" s="1"/>
      <c r="B167" s="8" t="s">
        <v>160</v>
      </c>
      <c r="C167" s="37"/>
      <c r="D167" s="63"/>
      <c r="E167" s="63"/>
      <c r="F167" s="63"/>
      <c r="G167" s="63"/>
      <c r="H167" s="63"/>
      <c r="I167" s="63"/>
      <c r="J167" s="64">
        <f>-I120</f>
        <v>-100</v>
      </c>
      <c r="K167" s="64" t="s">
        <v>135</v>
      </c>
      <c r="L167" s="64" t="s">
        <v>135</v>
      </c>
      <c r="M167" s="64" t="s">
        <v>135</v>
      </c>
      <c r="N167" s="64" t="s">
        <v>135</v>
      </c>
    </row>
    <row r="168" spans="1:14" x14ac:dyDescent="0.3">
      <c r="A168" s="1"/>
      <c r="B168" s="8" t="s">
        <v>161</v>
      </c>
      <c r="C168" s="37"/>
      <c r="D168" s="63"/>
      <c r="E168" s="63"/>
      <c r="F168" s="63"/>
      <c r="G168" s="63"/>
      <c r="H168" s="63"/>
      <c r="I168" s="63"/>
      <c r="J168" s="64">
        <f t="shared" ref="J168:N169" ca="1" si="6">-(J207+J214)</f>
        <v>-295.96031928477737</v>
      </c>
      <c r="K168" s="64">
        <f t="shared" ca="1" si="6"/>
        <v>-273.89865553719</v>
      </c>
      <c r="L168" s="64">
        <f t="shared" ca="1" si="6"/>
        <v>-223.97102517803268</v>
      </c>
      <c r="M168" s="64">
        <f t="shared" ca="1" si="6"/>
        <v>0</v>
      </c>
      <c r="N168" s="64">
        <f t="shared" ca="1" si="6"/>
        <v>0</v>
      </c>
    </row>
    <row r="169" spans="1:14" x14ac:dyDescent="0.3">
      <c r="A169" s="1"/>
      <c r="B169" s="8" t="s">
        <v>162</v>
      </c>
      <c r="C169" s="37"/>
      <c r="D169" s="63"/>
      <c r="E169" s="63"/>
      <c r="F169" s="63"/>
      <c r="G169" s="63"/>
      <c r="H169" s="63"/>
      <c r="I169" s="63"/>
      <c r="J169" s="64">
        <f t="shared" ca="1" si="6"/>
        <v>-24.948759709367998</v>
      </c>
      <c r="K169" s="64">
        <f t="shared" ca="1" si="6"/>
        <v>-24.948759709367998</v>
      </c>
      <c r="L169" s="64">
        <f t="shared" ca="1" si="6"/>
        <v>-83.628273583660473</v>
      </c>
      <c r="M169" s="64">
        <f t="shared" ca="1" si="6"/>
        <v>-309.58215941380422</v>
      </c>
      <c r="N169" s="64">
        <f t="shared" ca="1" si="6"/>
        <v>-315.14156151365626</v>
      </c>
    </row>
    <row r="170" spans="1:14" x14ac:dyDescent="0.3">
      <c r="A170" s="1"/>
      <c r="B170" s="14" t="s">
        <v>163</v>
      </c>
      <c r="C170" s="71"/>
      <c r="D170" s="63"/>
      <c r="E170" s="63"/>
      <c r="F170" s="63"/>
      <c r="G170" s="63"/>
      <c r="H170" s="63"/>
      <c r="I170" s="63"/>
      <c r="J170" s="64" t="s">
        <v>135</v>
      </c>
      <c r="K170" s="64" t="s">
        <v>135</v>
      </c>
      <c r="L170" s="64" t="s">
        <v>135</v>
      </c>
      <c r="M170" s="64" t="s">
        <v>135</v>
      </c>
      <c r="N170" s="64" t="s">
        <v>135</v>
      </c>
    </row>
    <row r="171" spans="1:14" x14ac:dyDescent="0.3">
      <c r="A171" s="1"/>
      <c r="B171" s="13" t="s">
        <v>164</v>
      </c>
      <c r="C171" s="37"/>
      <c r="D171" s="63"/>
      <c r="E171" s="63"/>
      <c r="F171" s="63"/>
      <c r="G171" s="63"/>
      <c r="H171" s="63"/>
      <c r="I171" s="63"/>
      <c r="J171" s="64">
        <f ca="1">J167+J168+J169+J170</f>
        <v>-420.90907899414537</v>
      </c>
      <c r="K171" s="64">
        <f ca="1">K167+K168+K169+K170</f>
        <v>-298.847415246558</v>
      </c>
      <c r="L171" s="64">
        <f ca="1">L167+L168+L169+L170</f>
        <v>-307.59929876169315</v>
      </c>
      <c r="M171" s="64">
        <f ca="1">M167+M168+M169+M170</f>
        <v>-309.58215941380422</v>
      </c>
      <c r="N171" s="64">
        <f ca="1">N167+N168+N169+N170</f>
        <v>-315.14156151365626</v>
      </c>
    </row>
    <row r="172" spans="1:14" x14ac:dyDescent="0.3">
      <c r="A172" s="1"/>
      <c r="B172" s="2"/>
      <c r="C172" s="37"/>
      <c r="D172" s="63"/>
      <c r="E172" s="63"/>
      <c r="F172" s="63"/>
      <c r="G172" s="63"/>
      <c r="H172" s="63"/>
      <c r="I172" s="63"/>
      <c r="J172" s="64"/>
      <c r="K172" s="64"/>
      <c r="L172" s="64"/>
      <c r="M172" s="64"/>
      <c r="N172" s="64"/>
    </row>
    <row r="173" spans="1:14" x14ac:dyDescent="0.3">
      <c r="A173" s="1"/>
      <c r="B173" s="13" t="s">
        <v>165</v>
      </c>
      <c r="C173" s="37"/>
      <c r="D173" s="63"/>
      <c r="E173" s="63"/>
      <c r="F173" s="63"/>
      <c r="G173" s="63"/>
      <c r="H173" s="63"/>
      <c r="I173" s="63"/>
      <c r="J173" s="64">
        <f ca="1">J165+J171</f>
        <v>-142</v>
      </c>
      <c r="K173" s="64">
        <f ca="1">K165+K171</f>
        <v>0</v>
      </c>
      <c r="L173" s="64">
        <f ca="1">L165+L171</f>
        <v>0</v>
      </c>
      <c r="M173" s="64">
        <f ca="1">M165+M171</f>
        <v>0</v>
      </c>
      <c r="N173" s="64">
        <f ca="1">N165+N171</f>
        <v>0</v>
      </c>
    </row>
    <row r="174" spans="1:14" x14ac:dyDescent="0.3">
      <c r="A174" s="1"/>
      <c r="B174" s="2"/>
      <c r="C174" s="37"/>
      <c r="D174" s="63"/>
      <c r="E174" s="63"/>
      <c r="F174" s="63"/>
      <c r="G174" s="63"/>
      <c r="H174" s="63"/>
      <c r="I174" s="63"/>
      <c r="J174" s="64"/>
      <c r="K174" s="64"/>
      <c r="L174" s="64"/>
      <c r="M174" s="64"/>
      <c r="N174" s="64"/>
    </row>
    <row r="175" spans="1:14" x14ac:dyDescent="0.3">
      <c r="A175" s="1"/>
      <c r="B175" s="8" t="s">
        <v>166</v>
      </c>
      <c r="C175" s="37"/>
      <c r="D175" s="63"/>
      <c r="E175" s="63"/>
      <c r="F175" s="63"/>
      <c r="G175" s="63"/>
      <c r="H175" s="63"/>
      <c r="I175" s="63"/>
      <c r="J175" s="64">
        <f>I104</f>
        <v>192</v>
      </c>
      <c r="K175" s="64">
        <f>J176</f>
        <v>50</v>
      </c>
      <c r="L175" s="64">
        <f>K176</f>
        <v>50</v>
      </c>
      <c r="M175" s="64">
        <f>L176</f>
        <v>50</v>
      </c>
      <c r="N175" s="64">
        <f>M176</f>
        <v>50</v>
      </c>
    </row>
    <row r="176" spans="1:14" ht="15.6" customHeight="1" x14ac:dyDescent="0.3">
      <c r="A176" s="1"/>
      <c r="B176" s="13" t="s">
        <v>167</v>
      </c>
      <c r="C176" s="37"/>
      <c r="D176" s="63"/>
      <c r="E176" s="63"/>
      <c r="F176" s="63"/>
      <c r="G176" s="63"/>
      <c r="H176" s="63"/>
      <c r="I176" s="63"/>
      <c r="J176" s="64">
        <f>$I$15</f>
        <v>50</v>
      </c>
      <c r="K176" s="64">
        <f>$I$15</f>
        <v>50</v>
      </c>
      <c r="L176" s="64">
        <f>$I$15</f>
        <v>50</v>
      </c>
      <c r="M176" s="64">
        <f>$I$15</f>
        <v>50</v>
      </c>
      <c r="N176" s="64">
        <f>$I$15</f>
        <v>50</v>
      </c>
    </row>
    <row r="177" spans="1:14" x14ac:dyDescent="0.3">
      <c r="A177" s="1"/>
      <c r="B177" s="2"/>
      <c r="C177" s="37"/>
      <c r="D177" s="58"/>
      <c r="E177" s="58"/>
      <c r="F177" s="58"/>
      <c r="G177" s="58"/>
      <c r="H177" s="58"/>
      <c r="I177" s="58"/>
      <c r="J177" s="106"/>
      <c r="K177" s="106"/>
      <c r="L177" s="106"/>
      <c r="M177" s="106"/>
      <c r="N177" s="106"/>
    </row>
    <row r="178" spans="1:14" ht="19.95" customHeight="1" x14ac:dyDescent="0.3">
      <c r="A178" s="1"/>
      <c r="B178" s="19" t="s">
        <v>168</v>
      </c>
      <c r="C178" s="36"/>
      <c r="D178" s="59"/>
      <c r="E178" s="59"/>
      <c r="F178" s="59"/>
      <c r="G178" s="59"/>
      <c r="H178" s="59"/>
      <c r="I178" s="59"/>
      <c r="J178" s="107"/>
      <c r="K178" s="107"/>
      <c r="L178" s="107"/>
      <c r="M178" s="107"/>
      <c r="N178" s="107"/>
    </row>
    <row r="179" spans="1:14" ht="14.4" customHeight="1" x14ac:dyDescent="0.3">
      <c r="A179" s="1"/>
      <c r="B179" s="2"/>
      <c r="C179" s="37"/>
      <c r="D179" s="120" t="s">
        <v>85</v>
      </c>
      <c r="E179" s="121"/>
      <c r="F179" s="121"/>
      <c r="G179" s="54"/>
      <c r="H179" s="54"/>
      <c r="I179" s="54"/>
      <c r="J179" s="122" t="s">
        <v>87</v>
      </c>
      <c r="K179" s="123"/>
      <c r="L179" s="123"/>
      <c r="M179" s="123"/>
      <c r="N179" s="123"/>
    </row>
    <row r="180" spans="1:14" x14ac:dyDescent="0.3">
      <c r="A180" s="1"/>
      <c r="B180" s="2"/>
      <c r="C180" s="37"/>
      <c r="D180" s="55">
        <v>2012</v>
      </c>
      <c r="E180" s="55">
        <v>2013</v>
      </c>
      <c r="F180" s="55">
        <v>2014</v>
      </c>
      <c r="G180" s="55"/>
      <c r="H180" s="55"/>
      <c r="I180" s="55"/>
      <c r="J180" s="105">
        <v>2015</v>
      </c>
      <c r="K180" s="105">
        <v>2016</v>
      </c>
      <c r="L180" s="105">
        <v>2017</v>
      </c>
      <c r="M180" s="105">
        <v>2018</v>
      </c>
      <c r="N180" s="105">
        <v>2019</v>
      </c>
    </row>
    <row r="181" spans="1:14" x14ac:dyDescent="0.3">
      <c r="A181" s="1"/>
      <c r="B181" s="20" t="s">
        <v>169</v>
      </c>
      <c r="C181" s="37"/>
      <c r="D181" s="77"/>
      <c r="E181" s="77"/>
      <c r="F181" s="77"/>
      <c r="G181" s="77"/>
      <c r="H181" s="77"/>
      <c r="I181" s="77"/>
      <c r="J181" s="108">
        <v>3.0000000000000001E-3</v>
      </c>
      <c r="K181" s="108">
        <v>3.5000000000000001E-3</v>
      </c>
      <c r="L181" s="108">
        <v>7.4999999999999997E-3</v>
      </c>
      <c r="M181" s="108">
        <v>1.55E-2</v>
      </c>
      <c r="N181" s="108">
        <v>0.02</v>
      </c>
    </row>
    <row r="182" spans="1:14" x14ac:dyDescent="0.3">
      <c r="A182" s="1"/>
      <c r="B182" s="2"/>
      <c r="C182" s="37"/>
      <c r="D182" s="58"/>
      <c r="E182" s="58"/>
      <c r="F182" s="78" t="s">
        <v>170</v>
      </c>
      <c r="G182" s="58"/>
      <c r="H182" s="58"/>
      <c r="I182" s="58"/>
      <c r="J182" s="106"/>
      <c r="K182" s="106"/>
      <c r="L182" s="106"/>
      <c r="M182" s="106"/>
      <c r="N182" s="106"/>
    </row>
    <row r="183" spans="1:14" x14ac:dyDescent="0.3">
      <c r="A183" s="1"/>
      <c r="B183" s="20" t="s">
        <v>171</v>
      </c>
      <c r="C183" s="37"/>
      <c r="D183" s="58"/>
      <c r="E183" s="78"/>
      <c r="F183" s="78" t="s">
        <v>172</v>
      </c>
      <c r="G183" s="58"/>
      <c r="H183" s="58"/>
      <c r="I183" s="58"/>
      <c r="J183" s="106"/>
      <c r="K183" s="106"/>
      <c r="L183" s="106"/>
      <c r="M183" s="106"/>
      <c r="N183" s="106"/>
    </row>
    <row r="184" spans="1:14" x14ac:dyDescent="0.3">
      <c r="A184" s="1"/>
      <c r="B184" s="2" t="s">
        <v>45</v>
      </c>
      <c r="C184" s="37"/>
      <c r="D184" s="79"/>
      <c r="E184" s="9">
        <v>2.2499999999999999E-2</v>
      </c>
      <c r="F184" s="79"/>
      <c r="G184" s="79"/>
      <c r="H184" s="79"/>
      <c r="I184" s="79"/>
      <c r="J184" s="118">
        <v>2.5499999999999998E-2</v>
      </c>
      <c r="K184" s="118">
        <v>2.5999999999999999E-2</v>
      </c>
      <c r="L184" s="118">
        <v>0.03</v>
      </c>
      <c r="M184" s="118">
        <v>3.7999999999999999E-2</v>
      </c>
      <c r="N184" s="118">
        <v>4.2500000000000003E-2</v>
      </c>
    </row>
    <row r="185" spans="1:14" x14ac:dyDescent="0.3">
      <c r="A185" s="1"/>
      <c r="B185" s="2" t="s">
        <v>48</v>
      </c>
      <c r="C185" s="37"/>
      <c r="D185" s="79"/>
      <c r="E185" s="79"/>
      <c r="F185" s="9">
        <v>6.25E-2</v>
      </c>
      <c r="G185" s="79"/>
      <c r="H185" s="79"/>
      <c r="I185" s="79"/>
      <c r="J185" s="118">
        <v>6.25E-2</v>
      </c>
      <c r="K185" s="118">
        <v>6.25E-2</v>
      </c>
      <c r="L185" s="118">
        <v>6.25E-2</v>
      </c>
      <c r="M185" s="118">
        <v>6.25E-2</v>
      </c>
      <c r="N185" s="118">
        <v>6.25E-2</v>
      </c>
    </row>
    <row r="186" spans="1:14" x14ac:dyDescent="0.3">
      <c r="A186" s="1"/>
      <c r="B186" s="2" t="s">
        <v>49</v>
      </c>
      <c r="C186" s="37"/>
      <c r="D186" s="79"/>
      <c r="E186" s="9">
        <v>3.7499999999999999E-2</v>
      </c>
      <c r="F186" s="79"/>
      <c r="G186" s="79"/>
      <c r="H186" s="79"/>
      <c r="I186" s="79"/>
      <c r="J186" s="118">
        <v>4.0500000000000001E-2</v>
      </c>
      <c r="K186" s="118">
        <v>4.1000000000000002E-2</v>
      </c>
      <c r="L186" s="118">
        <v>4.4999999999999998E-2</v>
      </c>
      <c r="M186" s="118">
        <v>5.2999999999999999E-2</v>
      </c>
      <c r="N186" s="118">
        <v>5.7500000000000002E-2</v>
      </c>
    </row>
    <row r="187" spans="1:14" x14ac:dyDescent="0.3">
      <c r="A187" s="1"/>
      <c r="B187" s="2" t="s">
        <v>51</v>
      </c>
      <c r="C187" s="37"/>
      <c r="D187" s="79"/>
      <c r="E187" s="79"/>
      <c r="F187" s="9">
        <v>0.12</v>
      </c>
      <c r="G187" s="79"/>
      <c r="H187" s="79"/>
      <c r="I187" s="79"/>
      <c r="J187" s="118">
        <v>0.12</v>
      </c>
      <c r="K187" s="118">
        <v>0.12</v>
      </c>
      <c r="L187" s="118">
        <v>0.12</v>
      </c>
      <c r="M187" s="118">
        <v>0.12</v>
      </c>
      <c r="N187" s="118">
        <v>0.12</v>
      </c>
    </row>
    <row r="188" spans="1:14" x14ac:dyDescent="0.3">
      <c r="A188" s="1"/>
      <c r="B188" s="2"/>
      <c r="C188" s="37"/>
      <c r="D188" s="58"/>
      <c r="E188" s="58"/>
      <c r="F188" s="58"/>
      <c r="G188" s="58"/>
      <c r="H188" s="58"/>
      <c r="I188" s="58"/>
      <c r="J188" s="106"/>
      <c r="K188" s="106"/>
      <c r="L188" s="106"/>
      <c r="M188" s="106"/>
      <c r="N188" s="106"/>
    </row>
    <row r="189" spans="1:14" x14ac:dyDescent="0.3">
      <c r="A189" s="1"/>
      <c r="B189" s="20" t="s">
        <v>173</v>
      </c>
      <c r="C189" s="37"/>
      <c r="D189" s="58"/>
      <c r="E189" s="58"/>
      <c r="F189" s="58"/>
      <c r="G189" s="58"/>
      <c r="H189" s="58"/>
      <c r="I189" s="58"/>
      <c r="J189" s="106"/>
      <c r="K189" s="106"/>
      <c r="L189" s="106"/>
      <c r="M189" s="106"/>
      <c r="N189" s="106"/>
    </row>
    <row r="190" spans="1:14" x14ac:dyDescent="0.3">
      <c r="A190" s="1"/>
      <c r="B190" s="2" t="s">
        <v>45</v>
      </c>
      <c r="C190" s="37"/>
      <c r="D190" s="63"/>
      <c r="E190" s="63"/>
      <c r="F190" s="63"/>
      <c r="G190" s="63"/>
      <c r="H190" s="63"/>
      <c r="I190" s="63"/>
      <c r="J190" s="92">
        <f>-AVERAGE(I120,J120)*J184</f>
        <v>-1.2749999999999999</v>
      </c>
      <c r="K190" s="92">
        <f>-AVERAGE(J120,K120)*K184</f>
        <v>0</v>
      </c>
      <c r="L190" s="92">
        <f>-AVERAGE(K120,L120)*L184</f>
        <v>0</v>
      </c>
      <c r="M190" s="92">
        <f>-AVERAGE(L120,M120)*M184</f>
        <v>0</v>
      </c>
      <c r="N190" s="92">
        <f>-AVERAGE(M120,N120)*N184</f>
        <v>0</v>
      </c>
    </row>
    <row r="191" spans="1:14" x14ac:dyDescent="0.3">
      <c r="A191" s="1"/>
      <c r="B191" s="2" t="s">
        <v>48</v>
      </c>
      <c r="C191" s="37"/>
      <c r="D191" s="63"/>
      <c r="E191" s="63"/>
      <c r="F191" s="63"/>
      <c r="G191" s="63"/>
      <c r="H191" s="63"/>
      <c r="I191" s="63"/>
      <c r="J191" s="92">
        <f t="shared" ref="J191:N192" ca="1" si="7">-AVERAGE(I127,J127)*J185</f>
        <v>-40.36561502235071</v>
      </c>
      <c r="K191" s="92">
        <f t="shared" ca="1" si="7"/>
        <v>-22.557522059164228</v>
      </c>
      <c r="L191" s="92">
        <f t="shared" ca="1" si="7"/>
        <v>-6.9990945368135211</v>
      </c>
      <c r="M191" s="92">
        <f t="shared" ca="1" si="7"/>
        <v>0</v>
      </c>
      <c r="N191" s="92">
        <f t="shared" ca="1" si="7"/>
        <v>0</v>
      </c>
    </row>
    <row r="192" spans="1:14" x14ac:dyDescent="0.3">
      <c r="A192" s="1"/>
      <c r="B192" s="2" t="s">
        <v>49</v>
      </c>
      <c r="C192" s="37"/>
      <c r="D192" s="63"/>
      <c r="E192" s="63"/>
      <c r="F192" s="63"/>
      <c r="G192" s="63"/>
      <c r="H192" s="63"/>
      <c r="I192" s="63"/>
      <c r="J192" s="92">
        <f t="shared" si="7"/>
        <v>-100.53782977499999</v>
      </c>
      <c r="K192" s="92">
        <f t="shared" ca="1" si="7"/>
        <v>-100.75613552595794</v>
      </c>
      <c r="L192" s="92">
        <f t="shared" ca="1" si="7"/>
        <v>-108.14301915744608</v>
      </c>
      <c r="M192" s="92">
        <f t="shared" ca="1" si="7"/>
        <v>-116.94836831100369</v>
      </c>
      <c r="N192" s="92">
        <f t="shared" ca="1" si="7"/>
        <v>-108.91713977583952</v>
      </c>
    </row>
    <row r="193" spans="1:14" x14ac:dyDescent="0.3">
      <c r="A193" s="1"/>
      <c r="B193" s="2" t="s">
        <v>51</v>
      </c>
      <c r="C193" s="37"/>
      <c r="D193" s="63"/>
      <c r="E193" s="63"/>
      <c r="F193" s="63"/>
      <c r="G193" s="63"/>
      <c r="H193" s="63"/>
      <c r="I193" s="63"/>
      <c r="J193" s="92">
        <f>-J187*$D$35</f>
        <v>-27.21682877385599</v>
      </c>
      <c r="K193" s="92">
        <f>-K187*$D$35</f>
        <v>-27.21682877385599</v>
      </c>
      <c r="L193" s="92">
        <f>-L187*$D$35</f>
        <v>-27.21682877385599</v>
      </c>
      <c r="M193" s="92">
        <f>-M187*$D$35</f>
        <v>-27.21682877385599</v>
      </c>
      <c r="N193" s="92">
        <f>-N187*$D$35</f>
        <v>-27.21682877385599</v>
      </c>
    </row>
    <row r="194" spans="1:14" x14ac:dyDescent="0.3">
      <c r="A194" s="1"/>
      <c r="B194" s="7" t="s">
        <v>174</v>
      </c>
      <c r="C194" s="71"/>
      <c r="D194" s="63"/>
      <c r="E194" s="63"/>
      <c r="F194" s="63"/>
      <c r="G194" s="63"/>
      <c r="H194" s="63"/>
      <c r="I194" s="63"/>
      <c r="J194" s="92">
        <f>AVERAGE(I104,J104)*J181</f>
        <v>0.36299999999999999</v>
      </c>
      <c r="K194" s="92">
        <f>AVERAGE(J104,K104)*K181</f>
        <v>0.17500000000000002</v>
      </c>
      <c r="L194" s="92">
        <f>AVERAGE(K104,L104)*L181</f>
        <v>0.375</v>
      </c>
      <c r="M194" s="92">
        <f>AVERAGE(L104,M104)*M181</f>
        <v>0.77500000000000002</v>
      </c>
      <c r="N194" s="92">
        <f>AVERAGE(M104,N104)*N181</f>
        <v>1</v>
      </c>
    </row>
    <row r="195" spans="1:14" x14ac:dyDescent="0.3">
      <c r="A195" s="1"/>
      <c r="B195" s="6" t="s">
        <v>175</v>
      </c>
      <c r="C195" s="37"/>
      <c r="D195" s="63"/>
      <c r="E195" s="63"/>
      <c r="F195" s="63"/>
      <c r="G195" s="63"/>
      <c r="H195" s="63"/>
      <c r="I195" s="63"/>
      <c r="J195" s="92">
        <f ca="1">SUM(J190:J194)</f>
        <v>-169.03227357120667</v>
      </c>
      <c r="K195" s="92">
        <f ca="1">SUM(K190:K194)</f>
        <v>-150.35548635897814</v>
      </c>
      <c r="L195" s="92">
        <f ca="1">SUM(L190:L194)</f>
        <v>-141.98394246811557</v>
      </c>
      <c r="M195" s="92">
        <f ca="1">SUM(M190:M194)</f>
        <v>-143.39019708485966</v>
      </c>
      <c r="N195" s="92">
        <f ca="1">SUM(N190:N194)</f>
        <v>-135.13396854969551</v>
      </c>
    </row>
    <row r="196" spans="1:14" x14ac:dyDescent="0.3">
      <c r="A196" s="1"/>
      <c r="B196" s="2"/>
      <c r="C196" s="37"/>
      <c r="D196" s="58"/>
      <c r="E196" s="58"/>
      <c r="F196" s="58"/>
      <c r="G196" s="58"/>
      <c r="H196" s="58"/>
      <c r="I196" s="58"/>
      <c r="J196" s="106"/>
      <c r="K196" s="106"/>
      <c r="L196" s="106"/>
      <c r="M196" s="106"/>
      <c r="N196" s="106"/>
    </row>
    <row r="197" spans="1:14" x14ac:dyDescent="0.3">
      <c r="A197" s="1"/>
      <c r="B197" s="20" t="s">
        <v>176</v>
      </c>
      <c r="C197" s="37"/>
      <c r="D197" s="58"/>
      <c r="E197" s="58"/>
      <c r="F197" s="58"/>
      <c r="G197" s="58"/>
      <c r="H197" s="58"/>
      <c r="I197" s="58"/>
      <c r="J197" s="106"/>
      <c r="K197" s="106"/>
      <c r="L197" s="106"/>
      <c r="M197" s="106"/>
      <c r="N197" s="106"/>
    </row>
    <row r="198" spans="1:14" x14ac:dyDescent="0.3">
      <c r="A198" s="1"/>
      <c r="B198" s="2" t="s">
        <v>166</v>
      </c>
      <c r="C198" s="37"/>
      <c r="D198" s="63"/>
      <c r="E198" s="63"/>
      <c r="F198" s="63"/>
      <c r="G198" s="63"/>
      <c r="H198" s="63"/>
      <c r="I198" s="63"/>
      <c r="J198" s="64">
        <f>I104</f>
        <v>192</v>
      </c>
      <c r="K198" s="64">
        <f>J176</f>
        <v>50</v>
      </c>
      <c r="L198" s="64">
        <f>K176</f>
        <v>50</v>
      </c>
      <c r="M198" s="64">
        <f>L176</f>
        <v>50</v>
      </c>
      <c r="N198" s="64">
        <f>M176</f>
        <v>50</v>
      </c>
    </row>
    <row r="199" spans="1:14" x14ac:dyDescent="0.3">
      <c r="A199" s="1"/>
      <c r="B199" s="2" t="s">
        <v>177</v>
      </c>
      <c r="C199" s="37"/>
      <c r="D199" s="63"/>
      <c r="E199" s="63"/>
      <c r="F199" s="63"/>
      <c r="G199" s="63"/>
      <c r="H199" s="63"/>
      <c r="I199" s="63"/>
      <c r="J199" s="64">
        <f>-J176</f>
        <v>-50</v>
      </c>
      <c r="K199" s="64">
        <f>-K176</f>
        <v>-50</v>
      </c>
      <c r="L199" s="64">
        <f>-L176</f>
        <v>-50</v>
      </c>
      <c r="M199" s="64">
        <f>-M176</f>
        <v>-50</v>
      </c>
      <c r="N199" s="64">
        <f>-N176</f>
        <v>-50</v>
      </c>
    </row>
    <row r="200" spans="1:14" x14ac:dyDescent="0.3">
      <c r="A200" s="1"/>
      <c r="B200" s="7" t="s">
        <v>178</v>
      </c>
      <c r="C200" s="71"/>
      <c r="D200" s="63"/>
      <c r="E200" s="63"/>
      <c r="F200" s="63"/>
      <c r="G200" s="63"/>
      <c r="H200" s="63"/>
      <c r="I200" s="63"/>
      <c r="J200" s="64">
        <f ca="1">J165</f>
        <v>278.90907899414537</v>
      </c>
      <c r="K200" s="64">
        <f ca="1">K165</f>
        <v>298.847415246558</v>
      </c>
      <c r="L200" s="64">
        <f ca="1">L165</f>
        <v>307.59929876169315</v>
      </c>
      <c r="M200" s="64">
        <f ca="1">M165</f>
        <v>309.58215941380422</v>
      </c>
      <c r="N200" s="64">
        <f ca="1">N165</f>
        <v>315.14156151365626</v>
      </c>
    </row>
    <row r="201" spans="1:14" x14ac:dyDescent="0.3">
      <c r="A201" s="1"/>
      <c r="B201" s="6" t="s">
        <v>179</v>
      </c>
      <c r="C201" s="37"/>
      <c r="D201" s="65"/>
      <c r="E201" s="65"/>
      <c r="F201" s="65"/>
      <c r="G201" s="63"/>
      <c r="H201" s="63"/>
      <c r="I201" s="63"/>
      <c r="J201" s="66">
        <f ca="1">J198+J199+J200</f>
        <v>420.90907899414537</v>
      </c>
      <c r="K201" s="66">
        <f ca="1">K198+K199+K200</f>
        <v>298.847415246558</v>
      </c>
      <c r="L201" s="66">
        <f ca="1">L198+L199+L200</f>
        <v>307.59929876169315</v>
      </c>
      <c r="M201" s="66">
        <f ca="1">M198+M199+M200</f>
        <v>309.58215941380422</v>
      </c>
      <c r="N201" s="66">
        <f ca="1">N198+N199+N200</f>
        <v>315.14156151365626</v>
      </c>
    </row>
    <row r="202" spans="1:14" x14ac:dyDescent="0.3">
      <c r="A202" s="1"/>
      <c r="B202" s="7" t="s">
        <v>180</v>
      </c>
      <c r="C202" s="71"/>
      <c r="D202" s="63"/>
      <c r="E202" s="63"/>
      <c r="F202" s="63"/>
      <c r="G202" s="63"/>
      <c r="H202" s="63"/>
      <c r="I202" s="63"/>
      <c r="J202" s="64">
        <f ca="1">MAX(-J201,0)</f>
        <v>0</v>
      </c>
      <c r="K202" s="64">
        <f ca="1">MAX(-K201,0)</f>
        <v>0</v>
      </c>
      <c r="L202" s="64">
        <f ca="1">MAX(-L201,0)</f>
        <v>0</v>
      </c>
      <c r="M202" s="64">
        <f ca="1">MAX(-M201,0)</f>
        <v>0</v>
      </c>
      <c r="N202" s="64">
        <f ca="1">MAX(-N201,0)</f>
        <v>0</v>
      </c>
    </row>
    <row r="203" spans="1:14" x14ac:dyDescent="0.3">
      <c r="A203" s="1"/>
      <c r="B203" s="6" t="s">
        <v>181</v>
      </c>
      <c r="C203" s="37"/>
      <c r="D203" s="65"/>
      <c r="E203" s="65"/>
      <c r="F203" s="65"/>
      <c r="G203" s="63"/>
      <c r="H203" s="63"/>
      <c r="I203" s="63"/>
      <c r="J203" s="66">
        <f ca="1">J201+J202</f>
        <v>420.90907899414537</v>
      </c>
      <c r="K203" s="66">
        <f ca="1">K201+K202</f>
        <v>298.847415246558</v>
      </c>
      <c r="L203" s="66">
        <f ca="1">L201+L202</f>
        <v>307.59929876169315</v>
      </c>
      <c r="M203" s="66">
        <f ca="1">M201+M202</f>
        <v>309.58215941380422</v>
      </c>
      <c r="N203" s="66">
        <f ca="1">N201+N202</f>
        <v>315.14156151365626</v>
      </c>
    </row>
    <row r="204" spans="1:14" x14ac:dyDescent="0.3">
      <c r="A204" s="1"/>
      <c r="B204" s="2"/>
      <c r="C204" s="37"/>
      <c r="D204" s="63"/>
      <c r="E204" s="63"/>
      <c r="F204" s="63"/>
      <c r="G204" s="63"/>
      <c r="H204" s="63"/>
      <c r="I204" s="63"/>
      <c r="J204" s="64"/>
      <c r="K204" s="64"/>
      <c r="L204" s="64"/>
      <c r="M204" s="64"/>
      <c r="N204" s="64"/>
    </row>
    <row r="205" spans="1:14" x14ac:dyDescent="0.3">
      <c r="A205" s="1"/>
      <c r="B205" s="20" t="s">
        <v>182</v>
      </c>
      <c r="C205" s="37"/>
      <c r="D205" s="65"/>
      <c r="E205" s="65"/>
      <c r="F205" s="65"/>
      <c r="G205" s="63"/>
      <c r="H205" s="63"/>
      <c r="I205" s="63"/>
      <c r="J205" s="66"/>
      <c r="K205" s="66"/>
      <c r="L205" s="66"/>
      <c r="M205" s="66"/>
      <c r="N205" s="66"/>
    </row>
    <row r="206" spans="1:14" x14ac:dyDescent="0.3">
      <c r="A206" s="1"/>
      <c r="B206" s="2" t="s">
        <v>183</v>
      </c>
      <c r="C206" s="37"/>
      <c r="D206" s="63"/>
      <c r="E206" s="63"/>
      <c r="F206" s="63"/>
      <c r="G206" s="63"/>
      <c r="H206" s="63"/>
      <c r="I206" s="63"/>
      <c r="J206" s="64"/>
      <c r="K206" s="64"/>
      <c r="L206" s="64"/>
      <c r="M206" s="64"/>
      <c r="N206" s="64"/>
    </row>
    <row r="207" spans="1:14" x14ac:dyDescent="0.3">
      <c r="A207" s="1"/>
      <c r="B207" s="2" t="s">
        <v>48</v>
      </c>
      <c r="C207" s="37"/>
      <c r="D207" s="63"/>
      <c r="E207" s="63"/>
      <c r="F207" s="63"/>
      <c r="G207" s="63"/>
      <c r="H207" s="63"/>
      <c r="I207" s="63"/>
      <c r="J207" s="92">
        <f>MIN($D$33*$J$33, I127)</f>
        <v>79.382417257079979</v>
      </c>
      <c r="K207" s="92">
        <f ca="1">MIN($D$33*$J$33, J127)</f>
        <v>79.382417257079979</v>
      </c>
      <c r="L207" s="92">
        <f ca="1">MIN($D$33*$J$33, K127)</f>
        <v>79.382417257079979</v>
      </c>
      <c r="M207" s="92">
        <f ca="1">MIN($D$33*$J$33, L127)</f>
        <v>0</v>
      </c>
      <c r="N207" s="92">
        <f ca="1">MIN($D$33*$J$33, M127)</f>
        <v>0</v>
      </c>
    </row>
    <row r="208" spans="1:14" x14ac:dyDescent="0.3">
      <c r="A208" s="1"/>
      <c r="B208" s="2" t="s">
        <v>49</v>
      </c>
      <c r="C208" s="37"/>
      <c r="D208" s="63"/>
      <c r="E208" s="63"/>
      <c r="F208" s="63"/>
      <c r="G208" s="63"/>
      <c r="H208" s="63"/>
      <c r="I208" s="63"/>
      <c r="J208" s="92">
        <f>MIN($D$34*$J$34, I128)</f>
        <v>24.948759709367998</v>
      </c>
      <c r="K208" s="92">
        <f>MIN($D$34*$J$34, J128)</f>
        <v>24.948759709367998</v>
      </c>
      <c r="L208" s="92">
        <f ca="1">MIN($D$34*$J$34, K128)</f>
        <v>24.948759709367998</v>
      </c>
      <c r="M208" s="92">
        <f ca="1">MIN($D$34*$J$34, L128)</f>
        <v>24.948759709367998</v>
      </c>
      <c r="N208" s="92">
        <f ca="1">MIN($D$34*$J$34, M128)</f>
        <v>24.948759709367998</v>
      </c>
    </row>
    <row r="209" spans="1:14" x14ac:dyDescent="0.3">
      <c r="A209" s="1"/>
      <c r="B209" s="7" t="s">
        <v>51</v>
      </c>
      <c r="C209" s="71"/>
      <c r="D209" s="65"/>
      <c r="E209" s="65"/>
      <c r="F209" s="65"/>
      <c r="G209" s="63"/>
      <c r="H209" s="63"/>
      <c r="I209" s="63"/>
      <c r="J209" s="92">
        <f>D35*J35</f>
        <v>0</v>
      </c>
      <c r="K209" s="92">
        <f>$J$209</f>
        <v>0</v>
      </c>
      <c r="L209" s="92">
        <f>$J$209</f>
        <v>0</v>
      </c>
      <c r="M209" s="92">
        <f>$J$209</f>
        <v>0</v>
      </c>
      <c r="N209" s="92">
        <f>$J$209</f>
        <v>0</v>
      </c>
    </row>
    <row r="210" spans="1:14" x14ac:dyDescent="0.3">
      <c r="A210" s="1"/>
      <c r="B210" s="6" t="s">
        <v>184</v>
      </c>
      <c r="C210" s="37"/>
      <c r="D210" s="63"/>
      <c r="E210" s="63"/>
      <c r="F210" s="63"/>
      <c r="G210" s="63"/>
      <c r="H210" s="63"/>
      <c r="I210" s="63"/>
      <c r="J210" s="95">
        <f>J207+J208+J209</f>
        <v>104.33117696644797</v>
      </c>
      <c r="K210" s="95">
        <f ca="1">K207+K208+K209</f>
        <v>104.33117696644797</v>
      </c>
      <c r="L210" s="95">
        <f ca="1">L207+L208+L209</f>
        <v>104.33117696644797</v>
      </c>
      <c r="M210" s="95">
        <f ca="1">M207+M208+M209</f>
        <v>24.948759709367998</v>
      </c>
      <c r="N210" s="95">
        <f ca="1">N207+N208+N209</f>
        <v>24.948759709367998</v>
      </c>
    </row>
    <row r="211" spans="1:14" x14ac:dyDescent="0.3">
      <c r="A211" s="1"/>
      <c r="B211" s="2"/>
      <c r="C211" s="37"/>
      <c r="D211" s="63"/>
      <c r="E211" s="63"/>
      <c r="F211" s="63"/>
      <c r="G211" s="63"/>
      <c r="H211" s="63"/>
      <c r="I211" s="63"/>
      <c r="J211" s="64"/>
      <c r="K211" s="64"/>
      <c r="L211" s="64"/>
      <c r="M211" s="64"/>
      <c r="N211" s="64"/>
    </row>
    <row r="212" spans="1:14" x14ac:dyDescent="0.3">
      <c r="A212" s="1"/>
      <c r="B212" s="20" t="s">
        <v>185</v>
      </c>
      <c r="C212" s="37"/>
      <c r="D212" s="63"/>
      <c r="E212" s="63"/>
      <c r="F212" s="63"/>
      <c r="G212" s="63"/>
      <c r="H212" s="63"/>
      <c r="I212" s="63"/>
      <c r="J212" s="64"/>
      <c r="K212" s="64"/>
      <c r="L212" s="64"/>
      <c r="M212" s="64"/>
      <c r="N212" s="64"/>
    </row>
    <row r="213" spans="1:14" x14ac:dyDescent="0.3">
      <c r="A213" s="1"/>
      <c r="B213" s="2" t="s">
        <v>45</v>
      </c>
      <c r="C213" s="37"/>
      <c r="D213" s="63"/>
      <c r="E213" s="63"/>
      <c r="F213" s="63"/>
      <c r="G213" s="63"/>
      <c r="H213" s="63"/>
      <c r="I213" s="63"/>
      <c r="J213" s="64">
        <f ca="1">MIN(MAX(J201-J210,0), I120)</f>
        <v>100</v>
      </c>
      <c r="K213" s="64">
        <f ca="1">MIN(MAX(K201-K210,0), J120)</f>
        <v>0</v>
      </c>
      <c r="L213" s="64">
        <f ca="1">MIN(MAX(L201-L210,0), K120)</f>
        <v>0</v>
      </c>
      <c r="M213" s="64">
        <f ca="1">MIN(MAX(M201-M210,0), L120)</f>
        <v>0</v>
      </c>
      <c r="N213" s="64">
        <f ca="1">MIN(MAX(N201-N210,0), M120)</f>
        <v>0</v>
      </c>
    </row>
    <row r="214" spans="1:14" x14ac:dyDescent="0.3">
      <c r="A214" s="1"/>
      <c r="B214" s="2" t="s">
        <v>48</v>
      </c>
      <c r="C214" s="37"/>
      <c r="D214" s="63"/>
      <c r="E214" s="63"/>
      <c r="F214" s="63"/>
      <c r="G214" s="63"/>
      <c r="H214" s="63"/>
      <c r="I214" s="63"/>
      <c r="J214" s="64">
        <f ca="1">MIN(MAX(J201-J210-J213,0), I127-J207)</f>
        <v>216.57790202769741</v>
      </c>
      <c r="K214" s="64">
        <f ca="1">MIN(MAX(K201-K210-K213,0), J127-K207)</f>
        <v>194.51623828011003</v>
      </c>
      <c r="L214" s="64">
        <f ca="1">MIN(MAX(L201-L210-L213,0), K127-L207)</f>
        <v>144.58860792095271</v>
      </c>
      <c r="M214" s="64">
        <f ca="1">MIN(MAX(M201-M210-M213,0), L127-M207)</f>
        <v>0</v>
      </c>
      <c r="N214" s="64">
        <f ca="1">MIN(MAX(N201-N210-N213,0), M127-N207)</f>
        <v>0</v>
      </c>
    </row>
    <row r="215" spans="1:14" x14ac:dyDescent="0.3">
      <c r="A215" s="1"/>
      <c r="B215" s="2" t="s">
        <v>49</v>
      </c>
      <c r="C215" s="37"/>
      <c r="D215" s="63"/>
      <c r="E215" s="63"/>
      <c r="F215" s="63"/>
      <c r="G215" s="63"/>
      <c r="H215" s="63"/>
      <c r="I215" s="63"/>
      <c r="J215" s="64">
        <f ca="1">MIN(MAX(J201-J210-J213-J214,0), I128-J208)</f>
        <v>0</v>
      </c>
      <c r="K215" s="64">
        <f ca="1">MIN(MAX(K201-K210-K213-K214,0), J128-K208)</f>
        <v>0</v>
      </c>
      <c r="L215" s="64">
        <f ca="1">MIN(MAX(L201-L210-L213-L214,0), K128-L208)</f>
        <v>58.679513874292468</v>
      </c>
      <c r="M215" s="64">
        <f ca="1">MIN(MAX(M201-M210-M213-M214,0), L128-M208)</f>
        <v>284.63339970443621</v>
      </c>
      <c r="N215" s="64">
        <f ca="1">MIN(MAX(N201-N210-N213-N214,0), M128-N208)</f>
        <v>290.19280180428825</v>
      </c>
    </row>
    <row r="216" spans="1:14" x14ac:dyDescent="0.3">
      <c r="A216" s="1"/>
      <c r="B216" s="7" t="s">
        <v>51</v>
      </c>
      <c r="C216" s="71"/>
      <c r="D216" s="63"/>
      <c r="E216" s="63"/>
      <c r="F216" s="63"/>
      <c r="G216" s="63"/>
      <c r="H216" s="63"/>
      <c r="I216" s="63"/>
      <c r="J216" s="64"/>
      <c r="K216" s="64"/>
      <c r="L216" s="64"/>
      <c r="M216" s="64"/>
      <c r="N216" s="64"/>
    </row>
    <row r="217" spans="1:14" x14ac:dyDescent="0.3">
      <c r="A217" s="1"/>
      <c r="B217" s="6" t="s">
        <v>186</v>
      </c>
      <c r="C217" s="37"/>
      <c r="D217" s="65"/>
      <c r="E217" s="65"/>
      <c r="F217" s="65"/>
      <c r="G217" s="63"/>
      <c r="H217" s="63"/>
      <c r="I217" s="63"/>
      <c r="J217" s="66">
        <f ca="1">J213+J214+J215</f>
        <v>316.57790202769741</v>
      </c>
      <c r="K217" s="66">
        <f ca="1">K213+K214+K215</f>
        <v>194.51623828011003</v>
      </c>
      <c r="L217" s="66">
        <f ca="1">L213+L214+L215</f>
        <v>203.26812179524518</v>
      </c>
      <c r="M217" s="66">
        <f ca="1">M213+M214+M215</f>
        <v>284.63339970443621</v>
      </c>
      <c r="N217" s="66">
        <f ca="1">N213+N214+N215</f>
        <v>290.19280180428825</v>
      </c>
    </row>
    <row r="218" spans="1:14" x14ac:dyDescent="0.3">
      <c r="A218" s="1"/>
      <c r="B218" s="2"/>
      <c r="C218" s="37"/>
      <c r="D218" s="63"/>
      <c r="E218" s="63"/>
      <c r="F218" s="63"/>
      <c r="G218" s="63"/>
      <c r="H218" s="63"/>
      <c r="I218" s="63"/>
      <c r="J218" s="64"/>
      <c r="K218" s="64"/>
      <c r="L218" s="64"/>
      <c r="M218" s="64"/>
      <c r="N218" s="64"/>
    </row>
    <row r="219" spans="1:14" x14ac:dyDescent="0.3">
      <c r="A219" s="1"/>
      <c r="B219" s="7" t="s">
        <v>187</v>
      </c>
      <c r="C219" s="71"/>
      <c r="D219" s="63"/>
      <c r="E219" s="63"/>
      <c r="F219" s="63"/>
      <c r="G219" s="63"/>
      <c r="H219" s="63"/>
      <c r="I219" s="63"/>
      <c r="J219" s="64">
        <f ca="1">MAX(J201-J210-J217, 0)</f>
        <v>0</v>
      </c>
      <c r="K219" s="64">
        <f ca="1">MAX(K201-K210-K217, 0)</f>
        <v>0</v>
      </c>
      <c r="L219" s="64">
        <f ca="1">MAX(L201-L210-L217, 0)</f>
        <v>0</v>
      </c>
      <c r="M219" s="64">
        <f ca="1">MAX(M201-M210-M217, 0)</f>
        <v>0</v>
      </c>
      <c r="N219" s="64">
        <f ca="1">MAX(N201-N210-N217, 0)</f>
        <v>0</v>
      </c>
    </row>
    <row r="220" spans="1:14" x14ac:dyDescent="0.3">
      <c r="A220" s="1"/>
      <c r="B220" s="6" t="s">
        <v>188</v>
      </c>
      <c r="C220" s="37"/>
      <c r="D220" s="65"/>
      <c r="E220" s="65"/>
      <c r="F220" s="65"/>
      <c r="G220" s="63"/>
      <c r="H220" s="63"/>
      <c r="I220" s="63"/>
      <c r="J220" s="66">
        <f ca="1">J210+J217+J219</f>
        <v>420.90907899414537</v>
      </c>
      <c r="K220" s="66">
        <f ca="1">K210+K217+K219</f>
        <v>298.847415246558</v>
      </c>
      <c r="L220" s="66">
        <f ca="1">L210+L217+L219</f>
        <v>307.59929876169315</v>
      </c>
      <c r="M220" s="66">
        <f ca="1">M210+M217+M219</f>
        <v>309.58215941380422</v>
      </c>
      <c r="N220" s="66">
        <f ca="1">N210+N217+N219</f>
        <v>315.14156151365626</v>
      </c>
    </row>
    <row r="221" spans="1:14" x14ac:dyDescent="0.3">
      <c r="A221" s="1"/>
      <c r="B221" s="2"/>
      <c r="C221" s="37"/>
      <c r="D221" s="58"/>
      <c r="E221" s="58"/>
      <c r="F221" s="58"/>
      <c r="G221" s="58"/>
      <c r="H221" s="58"/>
      <c r="I221" s="58"/>
      <c r="J221" s="82"/>
      <c r="K221" s="82"/>
      <c r="L221" s="82"/>
      <c r="M221" s="82"/>
      <c r="N221" s="82"/>
    </row>
    <row r="222" spans="1:14" ht="19.95" customHeight="1" x14ac:dyDescent="0.3">
      <c r="A222" s="1"/>
      <c r="B222" s="19" t="s">
        <v>189</v>
      </c>
      <c r="C222" s="36"/>
      <c r="D222" s="80"/>
      <c r="E222" s="80"/>
      <c r="F222" s="80"/>
      <c r="G222" s="80"/>
      <c r="H222" s="80"/>
      <c r="I222" s="80"/>
      <c r="J222" s="109"/>
      <c r="K222" s="109"/>
      <c r="L222" s="109"/>
      <c r="M222" s="109"/>
      <c r="N222" s="109"/>
    </row>
    <row r="223" spans="1:14" x14ac:dyDescent="0.3">
      <c r="A223" s="1"/>
      <c r="B223" s="2"/>
      <c r="C223" s="81"/>
      <c r="D223" s="82"/>
      <c r="E223" s="82"/>
      <c r="F223" s="82"/>
      <c r="G223" s="82"/>
      <c r="H223" s="82"/>
      <c r="I223" s="82">
        <v>2014</v>
      </c>
      <c r="J223" s="82"/>
      <c r="K223" s="82"/>
      <c r="L223" s="82"/>
      <c r="M223" s="82"/>
      <c r="N223" s="82">
        <v>2019</v>
      </c>
    </row>
    <row r="224" spans="1:14" x14ac:dyDescent="0.3">
      <c r="A224" s="1"/>
      <c r="B224" s="2" t="s">
        <v>115</v>
      </c>
      <c r="C224" s="81"/>
      <c r="D224" s="64"/>
      <c r="E224" s="64"/>
      <c r="F224" s="64"/>
      <c r="G224" s="64"/>
      <c r="H224" s="64"/>
      <c r="I224" s="64">
        <f>F98</f>
        <v>521</v>
      </c>
      <c r="J224" s="64"/>
      <c r="K224" s="64"/>
      <c r="L224" s="64"/>
      <c r="M224" s="64"/>
      <c r="N224" s="98">
        <f>N98</f>
        <v>651.25909197956366</v>
      </c>
    </row>
    <row r="225" spans="1:14" x14ac:dyDescent="0.3">
      <c r="A225" s="1"/>
      <c r="B225" s="2" t="s">
        <v>190</v>
      </c>
      <c r="C225" s="81"/>
      <c r="D225" s="83"/>
      <c r="E225" s="83"/>
      <c r="F225" s="83"/>
      <c r="G225" s="83"/>
      <c r="H225" s="83"/>
      <c r="I225" s="97">
        <f>F11</f>
        <v>11.915853880038386</v>
      </c>
      <c r="J225" s="83"/>
      <c r="K225" s="83"/>
      <c r="L225" s="83"/>
      <c r="M225" s="83"/>
      <c r="N225" s="98">
        <f>I8</f>
        <v>12</v>
      </c>
    </row>
    <row r="226" spans="1:14" x14ac:dyDescent="0.3">
      <c r="A226" s="1"/>
      <c r="B226" s="2" t="s">
        <v>40</v>
      </c>
      <c r="C226" s="81"/>
      <c r="D226" s="64"/>
      <c r="E226" s="64"/>
      <c r="F226" s="64"/>
      <c r="G226" s="64"/>
      <c r="H226" s="64"/>
      <c r="I226" s="64">
        <f>I224*I225</f>
        <v>6208.1598714999991</v>
      </c>
      <c r="J226" s="64"/>
      <c r="K226" s="64"/>
      <c r="L226" s="64"/>
      <c r="M226" s="64"/>
      <c r="N226" s="98">
        <f>N224*N225</f>
        <v>7815.109103754764</v>
      </c>
    </row>
    <row r="227" spans="1:14" x14ac:dyDescent="0.3">
      <c r="A227" s="1"/>
      <c r="B227" s="2" t="s">
        <v>59</v>
      </c>
      <c r="C227" s="81"/>
      <c r="D227" s="64"/>
      <c r="E227" s="64"/>
      <c r="F227" s="64"/>
      <c r="G227" s="64"/>
      <c r="H227" s="64"/>
      <c r="I227" s="64">
        <f>-C44</f>
        <v>-2972.1050277703007</v>
      </c>
      <c r="J227" s="64"/>
      <c r="K227" s="64"/>
      <c r="L227" s="64"/>
      <c r="M227" s="64"/>
      <c r="N227" s="64">
        <f ca="1">N226-N120-N126-N127-N128-N129+N104</f>
        <v>5901.6587579752522</v>
      </c>
    </row>
    <row r="228" spans="1:14" x14ac:dyDescent="0.3">
      <c r="A228" s="1"/>
      <c r="B228" s="6" t="s">
        <v>191</v>
      </c>
      <c r="C228" s="81"/>
      <c r="D228" s="84"/>
      <c r="E228" s="84"/>
      <c r="F228" s="84"/>
      <c r="G228" s="84"/>
      <c r="H228" s="84"/>
      <c r="I228" s="84">
        <f ca="1">IRR(I230:N230)</f>
        <v>0.14704789127558482</v>
      </c>
      <c r="J228" s="84"/>
      <c r="K228" s="84"/>
      <c r="L228" s="84"/>
      <c r="M228" s="84"/>
      <c r="N228" s="84"/>
    </row>
    <row r="229" spans="1:14" x14ac:dyDescent="0.3">
      <c r="A229" s="15"/>
      <c r="B229" s="15"/>
      <c r="C229" s="85"/>
      <c r="D229" s="86"/>
      <c r="E229" s="86"/>
      <c r="F229" s="86"/>
      <c r="G229" s="86"/>
      <c r="H229" s="86"/>
      <c r="I229" s="86"/>
      <c r="J229" s="86"/>
      <c r="K229" s="86"/>
      <c r="L229" s="86"/>
      <c r="M229" s="86"/>
      <c r="N229" s="86"/>
    </row>
    <row r="230" spans="1:14" ht="14.55" customHeight="1" x14ac:dyDescent="0.3">
      <c r="A230" s="15"/>
      <c r="B230" s="99" t="s">
        <v>192</v>
      </c>
      <c r="C230" s="87"/>
      <c r="D230" s="88"/>
      <c r="E230" s="88"/>
      <c r="F230" s="88"/>
      <c r="G230" s="88"/>
      <c r="H230" s="88"/>
      <c r="I230" s="88">
        <f>-I139</f>
        <v>-2972.12</v>
      </c>
      <c r="J230" s="88">
        <f>J227</f>
        <v>0</v>
      </c>
      <c r="K230" s="88">
        <f>K227</f>
        <v>0</v>
      </c>
      <c r="L230" s="88">
        <f>L227</f>
        <v>0</v>
      </c>
      <c r="M230" s="88">
        <f>M227</f>
        <v>0</v>
      </c>
      <c r="N230" s="88">
        <f ca="1">N227</f>
        <v>5901.6587579752522</v>
      </c>
    </row>
    <row r="233" spans="1:14" x14ac:dyDescent="0.3">
      <c r="B233" s="128" t="s">
        <v>193</v>
      </c>
      <c r="C233" s="138"/>
      <c r="D233" s="138"/>
      <c r="E233" s="138"/>
      <c r="F233" s="138"/>
      <c r="G233" s="138"/>
      <c r="H233" s="138"/>
      <c r="I233" s="138"/>
      <c r="J233" s="138"/>
      <c r="K233" s="138"/>
      <c r="L233" s="138"/>
      <c r="M233" s="138"/>
      <c r="N233" s="138"/>
    </row>
    <row r="235" spans="1:14" x14ac:dyDescent="0.3">
      <c r="B235" s="129" t="s">
        <v>194</v>
      </c>
      <c r="C235" s="130">
        <f>C44</f>
        <v>2972.1050277703007</v>
      </c>
    </row>
    <row r="236" spans="1:14" x14ac:dyDescent="0.3">
      <c r="B236" s="129" t="s">
        <v>195</v>
      </c>
      <c r="C236" s="131">
        <f>$I$8</f>
        <v>12</v>
      </c>
    </row>
    <row r="237" spans="1:14" x14ac:dyDescent="0.3">
      <c r="B237" s="129" t="s">
        <v>196</v>
      </c>
      <c r="C237" s="132">
        <v>0.5</v>
      </c>
    </row>
    <row r="239" spans="1:14" x14ac:dyDescent="0.3">
      <c r="B239" s="133" t="s">
        <v>197</v>
      </c>
      <c r="J239" s="134">
        <f>J$149</f>
        <v>2015</v>
      </c>
      <c r="K239" s="134">
        <f t="shared" ref="K239:N239" si="8">K$149</f>
        <v>2016</v>
      </c>
      <c r="L239" s="134">
        <f t="shared" si="8"/>
        <v>2017</v>
      </c>
      <c r="M239" s="134">
        <f t="shared" si="8"/>
        <v>2018</v>
      </c>
      <c r="N239" s="134">
        <f t="shared" si="8"/>
        <v>2019</v>
      </c>
    </row>
    <row r="240" spans="1:14" x14ac:dyDescent="0.3">
      <c r="B240" s="129" t="s">
        <v>198</v>
      </c>
      <c r="J240" s="135">
        <f>J98</f>
        <v>586.01161799999954</v>
      </c>
      <c r="K240" s="135">
        <f t="shared" ref="K240:N240" si="9">K98</f>
        <v>602.41994330399962</v>
      </c>
      <c r="L240" s="135">
        <f t="shared" si="9"/>
        <v>621.69738148972715</v>
      </c>
      <c r="M240" s="135">
        <f t="shared" si="9"/>
        <v>637.23981602697086</v>
      </c>
      <c r="N240" s="135">
        <f t="shared" si="9"/>
        <v>651.25909197956366</v>
      </c>
    </row>
    <row r="241" spans="2:14" x14ac:dyDescent="0.3">
      <c r="B241" s="129" t="s">
        <v>199</v>
      </c>
      <c r="J241" s="135">
        <f ca="1">SUM(J120,J126,J127,J128,J129)-J104</f>
        <v>3144.6207807152227</v>
      </c>
      <c r="K241" s="135">
        <f t="shared" ref="K241:N241" ca="1" si="10">SUM(K120,K126,K127,K128,K129)-K104</f>
        <v>2845.7733654686645</v>
      </c>
      <c r="L241" s="135">
        <f t="shared" ca="1" si="10"/>
        <v>2538.1740667069716</v>
      </c>
      <c r="M241" s="135">
        <f t="shared" ca="1" si="10"/>
        <v>2228.5919072931674</v>
      </c>
      <c r="N241" s="135">
        <f t="shared" ca="1" si="10"/>
        <v>1913.4503457795113</v>
      </c>
    </row>
    <row r="242" spans="2:14" x14ac:dyDescent="0.3">
      <c r="B242" s="129" t="s">
        <v>200</v>
      </c>
      <c r="J242" s="136">
        <f>J239-$I$223</f>
        <v>1</v>
      </c>
      <c r="K242" s="136">
        <f t="shared" ref="K242:N242" si="11">K239-$I$223</f>
        <v>2</v>
      </c>
      <c r="L242" s="136">
        <f t="shared" si="11"/>
        <v>3</v>
      </c>
      <c r="M242" s="136">
        <f t="shared" si="11"/>
        <v>4</v>
      </c>
      <c r="N242" s="136">
        <f t="shared" si="11"/>
        <v>5</v>
      </c>
    </row>
    <row r="244" spans="2:14" x14ac:dyDescent="0.3">
      <c r="B244" s="137" t="s">
        <v>201</v>
      </c>
      <c r="C244" s="139"/>
      <c r="D244" s="139"/>
      <c r="E244" s="139"/>
      <c r="F244" s="139"/>
      <c r="G244" s="139"/>
      <c r="H244" s="139"/>
      <c r="I244" s="139"/>
      <c r="J244" s="139"/>
      <c r="K244" s="139"/>
      <c r="L244" s="139"/>
      <c r="M244" s="139"/>
      <c r="N244" s="139"/>
    </row>
    <row r="245" spans="2:14" x14ac:dyDescent="0.3">
      <c r="I245" s="140" t="s">
        <v>202</v>
      </c>
      <c r="J245" s="141">
        <f>J$239</f>
        <v>2015</v>
      </c>
      <c r="K245" s="141">
        <f t="shared" ref="K245:N245" si="12">K$239</f>
        <v>2016</v>
      </c>
      <c r="L245" s="141">
        <f t="shared" si="12"/>
        <v>2017</v>
      </c>
      <c r="M245" s="141">
        <f t="shared" si="12"/>
        <v>2018</v>
      </c>
      <c r="N245" s="141">
        <f t="shared" si="12"/>
        <v>2019</v>
      </c>
    </row>
    <row r="246" spans="2:14" x14ac:dyDescent="0.3">
      <c r="I246" s="142">
        <f>I247-$C$237</f>
        <v>10.5</v>
      </c>
      <c r="J246" s="143">
        <f ca="1">IFERROR((MAX(J$240*$I246-J$241,0)/$C$235)^(1/J$242)-1,"n/a")</f>
        <v>1.2245926767189941E-2</v>
      </c>
      <c r="K246" s="143">
        <f t="shared" ref="K246:N252" ca="1" si="13">IFERROR((MAX(K$240*$I246-K$241,0)/$C$235)^(1/K$242)-1,"n/a")</f>
        <v>8.201886792839197E-2</v>
      </c>
      <c r="L246" s="143">
        <f t="shared" ca="1" si="13"/>
        <v>0.10312186262110434</v>
      </c>
      <c r="M246" s="143">
        <f t="shared" ca="1" si="13"/>
        <v>0.10694673249327957</v>
      </c>
      <c r="N246" s="143">
        <f t="shared" ca="1" si="13"/>
        <v>0.10627821977401108</v>
      </c>
    </row>
    <row r="247" spans="2:14" x14ac:dyDescent="0.3">
      <c r="I247" s="142">
        <f>I248-$C$237</f>
        <v>11</v>
      </c>
      <c r="J247" s="143">
        <f t="shared" ref="J247:J252" ca="1" si="14">IFERROR((MAX(J$240*$I247-J$241,0)/$C$235)^(1/J$242)-1,"n/a")</f>
        <v>0.11083120765809262</v>
      </c>
      <c r="K247" s="143">
        <f t="shared" ca="1" si="13"/>
        <v>0.12787876090867467</v>
      </c>
      <c r="L247" s="143">
        <f t="shared" ca="1" si="13"/>
        <v>0.1310578976920358</v>
      </c>
      <c r="M247" s="143">
        <f t="shared" ca="1" si="13"/>
        <v>0.12619785030463126</v>
      </c>
      <c r="N247" s="143">
        <f t="shared" ca="1" si="13"/>
        <v>0.12053555715508013</v>
      </c>
    </row>
    <row r="248" spans="2:14" x14ac:dyDescent="0.3">
      <c r="I248" s="142">
        <f>I249-$C$237</f>
        <v>11.5</v>
      </c>
      <c r="J248" s="143">
        <f t="shared" ca="1" si="14"/>
        <v>0.20941648854899531</v>
      </c>
      <c r="K248" s="143">
        <f t="shared" ca="1" si="13"/>
        <v>0.17194546292254387</v>
      </c>
      <c r="L248" s="143">
        <f t="shared" ca="1" si="13"/>
        <v>0.15767817733379963</v>
      </c>
      <c r="M248" s="143">
        <f t="shared" ca="1" si="13"/>
        <v>0.14450948105482753</v>
      </c>
      <c r="N248" s="143">
        <f t="shared" ca="1" si="13"/>
        <v>0.13410215996530273</v>
      </c>
    </row>
    <row r="249" spans="2:14" x14ac:dyDescent="0.3">
      <c r="I249" s="142">
        <f>$C$236</f>
        <v>12</v>
      </c>
      <c r="J249" s="143">
        <f t="shared" ca="1" si="14"/>
        <v>0.30800176943989843</v>
      </c>
      <c r="K249" s="143">
        <f t="shared" ca="1" si="13"/>
        <v>0.21441419491892622</v>
      </c>
      <c r="L249" s="143">
        <f t="shared" ca="1" si="13"/>
        <v>0.18312747496221027</v>
      </c>
      <c r="M249" s="143">
        <f t="shared" ca="1" si="13"/>
        <v>0.16198210795775636</v>
      </c>
      <c r="N249" s="149">
        <f t="shared" ca="1" si="13"/>
        <v>0.14704904694335696</v>
      </c>
    </row>
    <row r="250" spans="2:14" x14ac:dyDescent="0.3">
      <c r="I250" s="142">
        <f>I249+$C$237</f>
        <v>12.5</v>
      </c>
      <c r="J250" s="143">
        <f t="shared" ca="1" si="14"/>
        <v>0.40658705033080156</v>
      </c>
      <c r="K250" s="143">
        <f t="shared" ca="1" si="13"/>
        <v>0.25544713372424876</v>
      </c>
      <c r="L250" s="143">
        <f t="shared" ca="1" si="13"/>
        <v>0.20752664501780105</v>
      </c>
      <c r="M250" s="143">
        <f t="shared" ca="1" si="13"/>
        <v>0.17870029297180023</v>
      </c>
      <c r="N250" s="143">
        <f t="shared" ca="1" si="13"/>
        <v>0.15943648895510187</v>
      </c>
    </row>
    <row r="251" spans="2:14" x14ac:dyDescent="0.3">
      <c r="I251" s="142">
        <f>I250+$C$237</f>
        <v>13</v>
      </c>
      <c r="J251" s="143">
        <f t="shared" ca="1" si="14"/>
        <v>0.50517233122170402</v>
      </c>
      <c r="K251" s="143">
        <f t="shared" ca="1" si="13"/>
        <v>0.29518074967638386</v>
      </c>
      <c r="L251" s="143">
        <f t="shared" ca="1" si="13"/>
        <v>0.23097774162448226</v>
      </c>
      <c r="M251" s="143">
        <f t="shared" ca="1" si="13"/>
        <v>0.19473593040706327</v>
      </c>
      <c r="N251" s="143">
        <f t="shared" ca="1" si="13"/>
        <v>0.17131610383209006</v>
      </c>
    </row>
    <row r="252" spans="2:14" x14ac:dyDescent="0.3">
      <c r="I252" s="142">
        <f>I251+$C$237</f>
        <v>13.5</v>
      </c>
      <c r="J252" s="143">
        <f t="shared" ca="1" si="14"/>
        <v>0.60375761211260714</v>
      </c>
      <c r="K252" s="143">
        <f t="shared" ca="1" si="13"/>
        <v>0.33373117347092407</v>
      </c>
      <c r="L252" s="143">
        <f t="shared" ca="1" si="13"/>
        <v>0.25356781954898988</v>
      </c>
      <c r="M252" s="143">
        <f t="shared" ca="1" si="13"/>
        <v>0.2101507016351043</v>
      </c>
      <c r="N252" s="143">
        <f t="shared" ca="1" si="13"/>
        <v>0.18273246051004999</v>
      </c>
    </row>
    <row r="254" spans="2:14" x14ac:dyDescent="0.3">
      <c r="B254" s="137" t="s">
        <v>203</v>
      </c>
      <c r="C254" s="139"/>
      <c r="D254" s="139"/>
      <c r="E254" s="139"/>
      <c r="F254" s="139"/>
      <c r="G254" s="139"/>
      <c r="H254" s="139"/>
      <c r="I254" s="139"/>
      <c r="J254" s="139"/>
      <c r="K254" s="139"/>
      <c r="L254" s="139"/>
      <c r="M254" s="139"/>
      <c r="N254" s="139"/>
    </row>
    <row r="255" spans="2:14" x14ac:dyDescent="0.3">
      <c r="G255" s="140" t="s">
        <v>204</v>
      </c>
      <c r="H255" s="144">
        <v>-0.15</v>
      </c>
      <c r="I255" s="144">
        <v>-0.1</v>
      </c>
      <c r="J255" s="144">
        <v>-0.05</v>
      </c>
      <c r="K255" s="145">
        <v>0</v>
      </c>
      <c r="L255" s="144">
        <v>0.05</v>
      </c>
      <c r="M255" s="144">
        <v>0.1</v>
      </c>
      <c r="N255" s="144">
        <v>0.15</v>
      </c>
    </row>
    <row r="256" spans="2:14" x14ac:dyDescent="0.3">
      <c r="G256" s="142">
        <f>I246</f>
        <v>10.5</v>
      </c>
      <c r="H256" s="143">
        <f ca="1">IFERROR((MAX($N$240*(1+H$255)*$G256-$N$241,0)/$C$235)^(1/$N$242)-1,"n/a")</f>
        <v>5.5792668565246784E-2</v>
      </c>
      <c r="I256" s="143">
        <f t="shared" ref="I256:N262" ca="1" si="15">IFERROR((MAX($N$240*(1+I$255)*$G256-$N$241,0)/$C$235)^(1/$N$242)-1,"n/a")</f>
        <v>7.369210701613671E-2</v>
      </c>
      <c r="J256" s="143">
        <f t="shared" ca="1" si="15"/>
        <v>9.0471878912103731E-2</v>
      </c>
      <c r="K256" s="143">
        <f t="shared" ca="1" si="15"/>
        <v>0.10627821977401108</v>
      </c>
      <c r="L256" s="143">
        <f t="shared" ca="1" si="15"/>
        <v>0.12122965237072769</v>
      </c>
      <c r="M256" s="143">
        <f t="shared" ca="1" si="15"/>
        <v>0.1354236649917584</v>
      </c>
      <c r="N256" s="143">
        <f t="shared" ca="1" si="15"/>
        <v>0.14894147741808617</v>
      </c>
    </row>
    <row r="257" spans="2:14" x14ac:dyDescent="0.3">
      <c r="G257" s="142">
        <f t="shared" ref="G257:G262" si="16">I247</f>
        <v>11</v>
      </c>
      <c r="H257" s="143">
        <f t="shared" ref="H257:H262" ca="1" si="17">IFERROR((MAX($N$240*(1+H$255)*$G257-$N$241,0)/$C$235)^(1/$N$242)-1,"n/a")</f>
        <v>7.0374042515524815E-2</v>
      </c>
      <c r="I257" s="143">
        <f t="shared" ca="1" si="15"/>
        <v>8.8137440271244927E-2</v>
      </c>
      <c r="J257" s="143">
        <f t="shared" ca="1" si="15"/>
        <v>0.10481137592739609</v>
      </c>
      <c r="K257" s="143">
        <f t="shared" ca="1" si="15"/>
        <v>0.12053555715508013</v>
      </c>
      <c r="L257" s="143">
        <f t="shared" ca="1" si="15"/>
        <v>0.1354236649917584</v>
      </c>
      <c r="M257" s="143">
        <f t="shared" ca="1" si="15"/>
        <v>0.14956952597285156</v>
      </c>
      <c r="N257" s="143">
        <f t="shared" ca="1" si="15"/>
        <v>0.16305154338670524</v>
      </c>
    </row>
    <row r="258" spans="2:14" x14ac:dyDescent="0.3">
      <c r="G258" s="142">
        <f t="shared" si="16"/>
        <v>11.5</v>
      </c>
      <c r="H258" s="143">
        <f t="shared" ca="1" si="17"/>
        <v>8.4201610103992852E-2</v>
      </c>
      <c r="I258" s="143">
        <f t="shared" ca="1" si="15"/>
        <v>0.10185409852304739</v>
      </c>
      <c r="J258" s="143">
        <f t="shared" ca="1" si="15"/>
        <v>0.11844288845263384</v>
      </c>
      <c r="K258" s="143">
        <f t="shared" ca="1" si="15"/>
        <v>0.13410215996530273</v>
      </c>
      <c r="L258" s="143">
        <f t="shared" ca="1" si="15"/>
        <v>0.14894147741808617</v>
      </c>
      <c r="M258" s="143">
        <f t="shared" ca="1" si="15"/>
        <v>0.16305154338670524</v>
      </c>
      <c r="N258" s="143">
        <f t="shared" ca="1" si="15"/>
        <v>0.17650835158806921</v>
      </c>
    </row>
    <row r="259" spans="2:14" x14ac:dyDescent="0.3">
      <c r="G259" s="142">
        <f t="shared" si="16"/>
        <v>12</v>
      </c>
      <c r="H259" s="143">
        <f t="shared" ca="1" si="17"/>
        <v>9.73577602310709E-2</v>
      </c>
      <c r="I259" s="143">
        <f t="shared" ca="1" si="15"/>
        <v>0.1149199069050868</v>
      </c>
      <c r="J259" s="143">
        <f t="shared" ca="1" si="15"/>
        <v>0.13144051923113742</v>
      </c>
      <c r="K259" s="148">
        <f t="shared" ca="1" si="15"/>
        <v>0.14704904694335696</v>
      </c>
      <c r="L259" s="143">
        <f t="shared" ca="1" si="15"/>
        <v>0.16185151919872931</v>
      </c>
      <c r="M259" s="143">
        <f t="shared" ca="1" si="15"/>
        <v>0.17593594821298786</v>
      </c>
      <c r="N259" s="143">
        <f t="shared" ca="1" si="15"/>
        <v>0.18937624773233974</v>
      </c>
    </row>
    <row r="260" spans="2:14" x14ac:dyDescent="0.3">
      <c r="G260" s="142">
        <f t="shared" si="16"/>
        <v>12.5</v>
      </c>
      <c r="H260" s="143">
        <f t="shared" ca="1" si="17"/>
        <v>0.10991167175484473</v>
      </c>
      <c r="I260" s="143">
        <f t="shared" ca="1" si="15"/>
        <v>0.12740048116033531</v>
      </c>
      <c r="J260" s="143">
        <f t="shared" ca="1" si="15"/>
        <v>0.14386696549593236</v>
      </c>
      <c r="K260" s="143">
        <f t="shared" ca="1" si="15"/>
        <v>0.15943648895510187</v>
      </c>
      <c r="L260" s="143">
        <f t="shared" ca="1" si="15"/>
        <v>0.17421201834084998</v>
      </c>
      <c r="M260" s="143">
        <f t="shared" ca="1" si="15"/>
        <v>0.18827922976005196</v>
      </c>
      <c r="N260" s="143">
        <f t="shared" ca="1" si="15"/>
        <v>0.20171022737352096</v>
      </c>
    </row>
    <row r="261" spans="2:14" x14ac:dyDescent="0.3">
      <c r="G261" s="142">
        <f t="shared" si="16"/>
        <v>13</v>
      </c>
      <c r="H261" s="143">
        <f t="shared" ca="1" si="17"/>
        <v>0.12192203311647587</v>
      </c>
      <c r="I261" s="143">
        <f t="shared" ca="1" si="15"/>
        <v>0.13935168993325076</v>
      </c>
      <c r="J261" s="143">
        <f t="shared" ca="1" si="15"/>
        <v>0.15577577787689756</v>
      </c>
      <c r="K261" s="143">
        <f t="shared" ca="1" si="15"/>
        <v>0.17131610383209006</v>
      </c>
      <c r="L261" s="143">
        <f t="shared" ca="1" si="15"/>
        <v>0.18607296148799479</v>
      </c>
      <c r="M261" s="143">
        <f t="shared" ca="1" si="15"/>
        <v>0.20012998367538248</v>
      </c>
      <c r="N261" s="143">
        <f t="shared" ca="1" si="15"/>
        <v>0.21355768928922703</v>
      </c>
    </row>
    <row r="262" spans="2:14" x14ac:dyDescent="0.3">
      <c r="G262" s="142">
        <f t="shared" si="16"/>
        <v>13.5</v>
      </c>
      <c r="H262" s="143">
        <f t="shared" ca="1" si="17"/>
        <v>0.13343909088923978</v>
      </c>
      <c r="I262" s="143">
        <f t="shared" ca="1" si="15"/>
        <v>0.15082152126974835</v>
      </c>
      <c r="J262" s="143">
        <f t="shared" ca="1" si="15"/>
        <v>0.16721308205255281</v>
      </c>
      <c r="K262" s="143">
        <f t="shared" ca="1" si="15"/>
        <v>0.18273246051004999</v>
      </c>
      <c r="L262" s="143">
        <f t="shared" ca="1" si="15"/>
        <v>0.19747760113772528</v>
      </c>
      <c r="M262" s="143">
        <f t="shared" ca="1" si="15"/>
        <v>0.21153033809054</v>
      </c>
      <c r="N262" s="143">
        <f t="shared" ca="1" si="15"/>
        <v>0.2249597929775573</v>
      </c>
    </row>
    <row r="264" spans="2:14" x14ac:dyDescent="0.3">
      <c r="B264" s="137" t="s">
        <v>205</v>
      </c>
      <c r="C264" s="139"/>
      <c r="D264" s="139"/>
      <c r="E264" s="139"/>
      <c r="F264" s="139"/>
      <c r="G264" s="139"/>
      <c r="H264" s="139"/>
      <c r="I264" s="139"/>
      <c r="J264" s="139"/>
      <c r="K264" s="139"/>
      <c r="L264" s="139"/>
      <c r="M264" s="139"/>
      <c r="N264" s="139"/>
    </row>
    <row r="265" spans="2:14" x14ac:dyDescent="0.3">
      <c r="G265" s="140" t="s">
        <v>204</v>
      </c>
      <c r="H265" s="144">
        <v>-0.15</v>
      </c>
      <c r="I265" s="144">
        <v>-0.1</v>
      </c>
      <c r="J265" s="144">
        <v>-0.05</v>
      </c>
      <c r="K265" s="145">
        <v>0</v>
      </c>
      <c r="L265" s="144">
        <v>0.05</v>
      </c>
      <c r="M265" s="144">
        <v>0.1</v>
      </c>
      <c r="N265" s="144">
        <v>0.15</v>
      </c>
    </row>
    <row r="266" spans="2:14" x14ac:dyDescent="0.3">
      <c r="G266" s="142">
        <f>I246</f>
        <v>10.5</v>
      </c>
      <c r="H266" s="146">
        <f ca="1">IFERROR(MAX($N$240*(1+H$265)*$G266-$N$241,0)/$C$235,"n/a")</f>
        <v>1.3118772767808904</v>
      </c>
      <c r="I266" s="146">
        <f t="shared" ref="I266:N272" ca="1" si="18">IFERROR(MAX($N$240*(1+I$265)*$G266-$N$241,0)/$C$235,"n/a")</f>
        <v>1.4269172972695929</v>
      </c>
      <c r="J266" s="146">
        <f t="shared" ca="1" si="18"/>
        <v>1.5419573177582953</v>
      </c>
      <c r="K266" s="146">
        <f t="shared" ca="1" si="18"/>
        <v>1.6569973382469976</v>
      </c>
      <c r="L266" s="146">
        <f t="shared" ca="1" si="18"/>
        <v>1.7720373587357001</v>
      </c>
      <c r="M266" s="146">
        <f t="shared" ca="1" si="18"/>
        <v>1.8870773792244024</v>
      </c>
      <c r="N266" s="146">
        <f t="shared" ca="1" si="18"/>
        <v>2.002117399713105</v>
      </c>
    </row>
    <row r="267" spans="2:14" x14ac:dyDescent="0.3">
      <c r="G267" s="142">
        <f t="shared" ref="G267:G272" si="19">I247</f>
        <v>11</v>
      </c>
      <c r="H267" s="146">
        <f t="shared" ref="H267:H272" ca="1" si="20">IFERROR(MAX($N$240*(1+H$265)*$G267-$N$241,0)/$C$235,"n/a")</f>
        <v>1.4050049124146016</v>
      </c>
      <c r="I267" s="146">
        <f t="shared" ca="1" si="18"/>
        <v>1.5255230291170521</v>
      </c>
      <c r="J267" s="146">
        <f t="shared" ca="1" si="18"/>
        <v>1.6460411458195023</v>
      </c>
      <c r="K267" s="146">
        <f t="shared" ca="1" si="18"/>
        <v>1.7665592625219522</v>
      </c>
      <c r="L267" s="146">
        <f t="shared" ca="1" si="18"/>
        <v>1.8870773792244024</v>
      </c>
      <c r="M267" s="146">
        <f t="shared" ca="1" si="18"/>
        <v>2.0075954959268527</v>
      </c>
      <c r="N267" s="146">
        <f t="shared" ca="1" si="18"/>
        <v>2.1281136126293028</v>
      </c>
    </row>
    <row r="268" spans="2:14" x14ac:dyDescent="0.3">
      <c r="G268" s="142">
        <f t="shared" si="19"/>
        <v>11.5</v>
      </c>
      <c r="H268" s="146">
        <f t="shared" ca="1" si="20"/>
        <v>1.4981325480483134</v>
      </c>
      <c r="I268" s="146">
        <f t="shared" ca="1" si="18"/>
        <v>1.624128760964511</v>
      </c>
      <c r="J268" s="146">
        <f t="shared" ca="1" si="18"/>
        <v>1.7501249738807088</v>
      </c>
      <c r="K268" s="146">
        <f t="shared" ca="1" si="18"/>
        <v>1.8761211867969072</v>
      </c>
      <c r="L268" s="146">
        <f t="shared" ca="1" si="18"/>
        <v>2.002117399713105</v>
      </c>
      <c r="M268" s="146">
        <f t="shared" ca="1" si="18"/>
        <v>2.1281136126293032</v>
      </c>
      <c r="N268" s="146">
        <f t="shared" ca="1" si="18"/>
        <v>2.2541098255455001</v>
      </c>
    </row>
    <row r="269" spans="2:14" x14ac:dyDescent="0.3">
      <c r="G269" s="142">
        <f t="shared" si="19"/>
        <v>12</v>
      </c>
      <c r="H269" s="146">
        <f t="shared" ca="1" si="20"/>
        <v>1.5912601836820246</v>
      </c>
      <c r="I269" s="146">
        <f t="shared" ca="1" si="18"/>
        <v>1.7227344928119701</v>
      </c>
      <c r="J269" s="146">
        <f t="shared" ca="1" si="18"/>
        <v>1.8542088019419158</v>
      </c>
      <c r="K269" s="150">
        <f t="shared" ca="1" si="18"/>
        <v>1.9856831110718616</v>
      </c>
      <c r="L269" s="146">
        <f t="shared" ca="1" si="18"/>
        <v>2.1171574202018077</v>
      </c>
      <c r="M269" s="146">
        <f t="shared" ca="1" si="18"/>
        <v>2.2486317293317528</v>
      </c>
      <c r="N269" s="146">
        <f t="shared" ca="1" si="18"/>
        <v>2.3801060384616988</v>
      </c>
    </row>
    <row r="270" spans="2:14" x14ac:dyDescent="0.3">
      <c r="G270" s="142">
        <f t="shared" si="19"/>
        <v>12.5</v>
      </c>
      <c r="H270" s="146">
        <f t="shared" ca="1" si="20"/>
        <v>1.6843878193157362</v>
      </c>
      <c r="I270" s="146">
        <f t="shared" ca="1" si="18"/>
        <v>1.8213402246594292</v>
      </c>
      <c r="J270" s="146">
        <f t="shared" ca="1" si="18"/>
        <v>1.9582926300031229</v>
      </c>
      <c r="K270" s="146">
        <f t="shared" ca="1" si="18"/>
        <v>2.0952450353468168</v>
      </c>
      <c r="L270" s="146">
        <f t="shared" ca="1" si="18"/>
        <v>2.2321974406905101</v>
      </c>
      <c r="M270" s="146">
        <f t="shared" ca="1" si="18"/>
        <v>2.3691498460342033</v>
      </c>
      <c r="N270" s="146">
        <f t="shared" ca="1" si="18"/>
        <v>2.5061022513778966</v>
      </c>
    </row>
    <row r="271" spans="2:14" x14ac:dyDescent="0.3">
      <c r="G271" s="142">
        <f t="shared" si="19"/>
        <v>13</v>
      </c>
      <c r="H271" s="146">
        <f t="shared" ca="1" si="20"/>
        <v>1.7775154549494474</v>
      </c>
      <c r="I271" s="146">
        <f t="shared" ca="1" si="18"/>
        <v>1.919945956506889</v>
      </c>
      <c r="J271" s="146">
        <f t="shared" ca="1" si="18"/>
        <v>2.06237645806433</v>
      </c>
      <c r="K271" s="146">
        <f t="shared" ca="1" si="18"/>
        <v>2.204806959621771</v>
      </c>
      <c r="L271" s="146">
        <f t="shared" ca="1" si="18"/>
        <v>2.3472374611792128</v>
      </c>
      <c r="M271" s="146">
        <f t="shared" ca="1" si="18"/>
        <v>2.4896679627366538</v>
      </c>
      <c r="N271" s="146">
        <f t="shared" ca="1" si="18"/>
        <v>2.6320984642940939</v>
      </c>
    </row>
    <row r="272" spans="2:14" x14ac:dyDescent="0.3">
      <c r="G272" s="142">
        <f t="shared" si="19"/>
        <v>13.5</v>
      </c>
      <c r="H272" s="146">
        <f t="shared" ca="1" si="20"/>
        <v>1.8706430905831593</v>
      </c>
      <c r="I272" s="146">
        <f t="shared" ca="1" si="18"/>
        <v>2.0185516883543482</v>
      </c>
      <c r="J272" s="146">
        <f t="shared" ca="1" si="18"/>
        <v>2.1664602861255373</v>
      </c>
      <c r="K272" s="146">
        <f t="shared" ca="1" si="18"/>
        <v>2.314368883896726</v>
      </c>
      <c r="L272" s="146">
        <f t="shared" ca="1" si="18"/>
        <v>2.4622774816679152</v>
      </c>
      <c r="M272" s="146">
        <f t="shared" ca="1" si="18"/>
        <v>2.6101860794391039</v>
      </c>
      <c r="N272" s="146">
        <f t="shared" ca="1" si="18"/>
        <v>2.7580946772102926</v>
      </c>
    </row>
    <row r="274" spans="2:2" x14ac:dyDescent="0.3">
      <c r="B274" s="147" t="s">
        <v>206</v>
      </c>
    </row>
  </sheetData>
  <mergeCells count="15">
    <mergeCell ref="D179:F179"/>
    <mergeCell ref="J179:N179"/>
    <mergeCell ref="D101:F101"/>
    <mergeCell ref="G101:I101"/>
    <mergeCell ref="J101:N101"/>
    <mergeCell ref="D148:F148"/>
    <mergeCell ref="G148:I148"/>
    <mergeCell ref="J148:N148"/>
    <mergeCell ref="B48:C48"/>
    <mergeCell ref="D64:F64"/>
    <mergeCell ref="G64:I64"/>
    <mergeCell ref="J64:N64"/>
    <mergeCell ref="D80:F80"/>
    <mergeCell ref="G80:I80"/>
    <mergeCell ref="J80:N80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LBO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Austin Lee</dc:creator>
  <cp:lastModifiedBy>Austin Lee</cp:lastModifiedBy>
  <dcterms:created xsi:type="dcterms:W3CDTF">2026-08-12T03:45:49Z</dcterms:created>
  <dcterms:modified xsi:type="dcterms:W3CDTF">2026-08-14T13:55:27Z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{"Label":"1","ContentProducer":"001191440300708461136T1WFUO","ProduceID":"77262824d907ddf77a4defcf8eae3af6-5Rwh","ReservedCode1":"{\"Type\":\" TC260PG\",\"Version\":1,\"Bindings\":[{\"Type\":\"soft\",\"AlgID\":\"sm3\",\"Value\":\"5c1a6668b6e21cb351cc89688d71d3137823c5d4a5dc545178ef4bbd99fdef41\"},{\"Type\":\"hash\",\"AlgID\":\"sm3\",\"Value\":\"22b8d28d39c74753ff1027ee1cea2cafef814f3954b59ea60adc9f5b520d0463\"}],\"PubSD\":[{\"Type\":\"DS\",\"AlgID\":\"sm2\",\"TBSData\":{\"Type\":\"Binding\",\"BType\":\"hash\"},\"Signature\":\"3044022063efe870ab53e0efe79c9df61ffff96ab30b1fe53a51ad35aba7379046d706a20220614fe3d18c0c83a84887a4878c18a11480a08cf7d9cdefa6921b5d66de7c21d3\"},{\"Type\":\"PubKey\",\"AlgID\":\"sm2\",\"KeyValue\":\"0407f79b28a17a752b3aae4305c98b48978213832729a2571850b1310b2bc9fe8fee039ccf25ebfeac27502414d9fcef792d777183c98893d226171c2f7a3289a2\"}],\"Extension\":{\"Timestamp\":1786529406,\"KeyVersion\":\"v1-TxLeOmf7bqU223\"}}","ContentPropagator":"001191440300708461136T1WFUO","PropagateID":"77262824d907ddf77a4defcf8eae3af6-5Rwh","ReservedCode2":"{\"Type\":\" TC260PG\",\"Version\":1,\"Bindings\":[{\"Type\":\"soft\",\"AlgID\":\"sm3\",\"Value\":\"5c1a6668b6e21cb351cc89688d71d3137823c5d4a5dc545178ef4bbd99fdef41\"},{\"Type\":\"hash\",\"AlgID\":\"sm3\",\"Value\":\"22b8d28d39c74753ff1027ee1cea2cafef814f3954b59ea60adc9f5b520d0463\"}],\"PubSD\":[{\"Type\":\"DS\",\"AlgID\":\"sm2\",\"TBSData\":{\"Type\":\"Binding\",\"BType\":\"hash\"},\"Signature\":\"3046022100ac2a6adeb6e4ea276476125db180bcf6c79252fe6e8440f8dbedb35c400f5fb7022100aa140dfc99816293b6c88213698d4434f33c394166afee9ccb261cc6493dc635\"},{\"Type\":\"PubKey\",\"AlgID\":\"sm2\",\"KeyValue\":\"0407f79b28a17a752b3aae4305c98b48978213832729a2571850b1310b2bc9fe8fee039ccf25ebfeac27502414d9fcef792d777183c98893d226171c2f7a3289a2\"}],\"Extension\":{\"Timestamp\":1786529406,\"KeyVersion\":\"v1-TxLeOmf7bqU223\"}}"}</vt:lpwstr>
  </property>
</Properties>
</file>