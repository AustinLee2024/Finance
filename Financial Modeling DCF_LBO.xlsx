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BC26AE4-2146-450F-BC78-4D61999E8C9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LDN" sheetId="1" r:id="rId1"/>
    <sheet name="Valuation Summary" sheetId="2" r:id="rId2"/>
    <sheet name="LBO" sheetId="3" r:id="rId3"/>
    <sheet name="DCF" sheetId="4" r:id="rId4"/>
    <sheet name="Public Comps" sheetId="5" r:id="rId5"/>
    <sheet name="Precedent Transactions" sheetId="6" r:id="rId6"/>
  </sheets>
  <definedNames>
    <definedName name="Cash_Sweep">LBO!#REF!</definedName>
    <definedName name="Circularity">LBO!$G$21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"02/18/2025 22:56:54"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Count="1000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L24" i="5"/>
  <c r="K24" i="5"/>
  <c r="H24" i="5"/>
  <c r="E24" i="5"/>
  <c r="L23" i="5"/>
  <c r="K23" i="5"/>
  <c r="H23" i="5"/>
  <c r="E23" i="5"/>
  <c r="L22" i="5"/>
  <c r="K22" i="5"/>
  <c r="H22" i="5"/>
  <c r="E22" i="5"/>
  <c r="L21" i="5"/>
  <c r="K21" i="5"/>
  <c r="H21" i="5"/>
  <c r="E21" i="5"/>
  <c r="L20" i="5"/>
  <c r="K20" i="5"/>
  <c r="H20" i="5"/>
  <c r="E20" i="5"/>
  <c r="L19" i="5"/>
  <c r="K19" i="5"/>
  <c r="H19" i="5"/>
  <c r="E19" i="5"/>
  <c r="L18" i="5"/>
  <c r="K18" i="5"/>
  <c r="H18" i="5"/>
  <c r="E18" i="5"/>
  <c r="L17" i="5"/>
  <c r="K17" i="5"/>
  <c r="H17" i="5"/>
  <c r="E17" i="5"/>
  <c r="L16" i="5"/>
  <c r="K16" i="5"/>
  <c r="H16" i="5"/>
  <c r="E16" i="5"/>
  <c r="L15" i="5"/>
  <c r="K15" i="5"/>
  <c r="H15" i="5"/>
  <c r="E15" i="5"/>
  <c r="L14" i="5"/>
  <c r="K14" i="5"/>
  <c r="H14" i="5"/>
  <c r="E14" i="5"/>
  <c r="L13" i="5"/>
  <c r="K13" i="5"/>
  <c r="H13" i="5"/>
  <c r="E13" i="5"/>
  <c r="L12" i="5"/>
  <c r="K12" i="5"/>
  <c r="H12" i="5"/>
  <c r="E12" i="5"/>
  <c r="L11" i="5"/>
  <c r="K11" i="5"/>
  <c r="H11" i="5"/>
  <c r="E11" i="5"/>
  <c r="I66" i="4"/>
  <c r="H66" i="4"/>
  <c r="G66" i="4"/>
  <c r="F66" i="4"/>
  <c r="E66" i="4"/>
  <c r="I65" i="4"/>
  <c r="H65" i="4"/>
  <c r="G65" i="4"/>
  <c r="F65" i="4"/>
  <c r="E65" i="4"/>
  <c r="I64" i="4"/>
  <c r="H64" i="4"/>
  <c r="G64" i="4"/>
  <c r="F64" i="4"/>
  <c r="E64" i="4"/>
  <c r="G58" i="4"/>
  <c r="C58" i="4"/>
  <c r="G57" i="4"/>
  <c r="C57" i="4"/>
  <c r="G56" i="4"/>
  <c r="C56" i="4"/>
  <c r="G55" i="4"/>
  <c r="C55" i="4"/>
  <c r="G54" i="4"/>
  <c r="C54" i="4"/>
  <c r="G53" i="4"/>
  <c r="C53" i="4"/>
  <c r="I49" i="4"/>
  <c r="I48" i="4"/>
  <c r="H48" i="4"/>
  <c r="G48" i="4"/>
  <c r="F48" i="4"/>
  <c r="E48" i="4"/>
  <c r="D48" i="4"/>
  <c r="I46" i="4"/>
  <c r="H46" i="4"/>
  <c r="G46" i="4"/>
  <c r="F46" i="4"/>
  <c r="E46" i="4"/>
  <c r="D46" i="4"/>
  <c r="I45" i="4"/>
  <c r="H45" i="4"/>
  <c r="G45" i="4"/>
  <c r="F45" i="4"/>
  <c r="E45" i="4"/>
  <c r="I43" i="4"/>
  <c r="H43" i="4"/>
  <c r="G43" i="4"/>
  <c r="F43" i="4"/>
  <c r="E43" i="4"/>
  <c r="D43" i="4"/>
  <c r="C43" i="4"/>
  <c r="I42" i="4"/>
  <c r="H42" i="4"/>
  <c r="G42" i="4"/>
  <c r="F42" i="4"/>
  <c r="E42" i="4"/>
  <c r="D42" i="4"/>
  <c r="C42" i="4"/>
  <c r="I41" i="4"/>
  <c r="H41" i="4"/>
  <c r="G41" i="4"/>
  <c r="F41" i="4"/>
  <c r="E41" i="4"/>
  <c r="D41" i="4"/>
  <c r="C41" i="4"/>
  <c r="I40" i="4"/>
  <c r="H40" i="4"/>
  <c r="G40" i="4"/>
  <c r="F40" i="4"/>
  <c r="E40" i="4"/>
  <c r="D40" i="4"/>
  <c r="C40" i="4"/>
  <c r="I39" i="4"/>
  <c r="H39" i="4"/>
  <c r="G39" i="4"/>
  <c r="F39" i="4"/>
  <c r="E39" i="4"/>
  <c r="D39" i="4"/>
  <c r="C39" i="4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4" i="4"/>
  <c r="H34" i="4"/>
  <c r="G34" i="4"/>
  <c r="F34" i="4"/>
  <c r="E34" i="4"/>
  <c r="D34" i="4"/>
  <c r="C34" i="4"/>
  <c r="C27" i="4"/>
  <c r="C23" i="4"/>
  <c r="C21" i="4"/>
  <c r="C20" i="4"/>
  <c r="C19" i="4"/>
  <c r="C18" i="4"/>
  <c r="C14" i="4"/>
  <c r="C13" i="4"/>
  <c r="C6" i="4"/>
  <c r="C10" i="2"/>
  <c r="C8" i="2"/>
  <c r="C7" i="2"/>
  <c r="D6" i="2"/>
  <c r="C6" i="2"/>
  <c r="C5" i="2"/>
  <c r="J217" i="3"/>
  <c r="I217" i="3"/>
  <c r="H217" i="3"/>
  <c r="G217" i="3"/>
  <c r="F217" i="3"/>
  <c r="E217" i="3"/>
  <c r="J216" i="3"/>
  <c r="I216" i="3"/>
  <c r="H216" i="3"/>
  <c r="G216" i="3"/>
  <c r="F216" i="3"/>
  <c r="D216" i="3"/>
  <c r="C216" i="3"/>
  <c r="J213" i="3"/>
  <c r="I213" i="3"/>
  <c r="H213" i="3"/>
  <c r="G213" i="3"/>
  <c r="F213" i="3"/>
  <c r="E213" i="3"/>
  <c r="D213" i="3"/>
  <c r="C213" i="3"/>
  <c r="J210" i="3"/>
  <c r="I210" i="3"/>
  <c r="H210" i="3"/>
  <c r="G210" i="3"/>
  <c r="F210" i="3"/>
  <c r="E210" i="3"/>
  <c r="D210" i="3"/>
  <c r="C210" i="3"/>
  <c r="I202" i="3"/>
  <c r="H202" i="3"/>
  <c r="G202" i="3"/>
  <c r="F202" i="3"/>
  <c r="E202" i="3"/>
  <c r="I201" i="3"/>
  <c r="H201" i="3"/>
  <c r="G201" i="3"/>
  <c r="F201" i="3"/>
  <c r="E201" i="3"/>
  <c r="I199" i="3"/>
  <c r="D199" i="3"/>
  <c r="H198" i="3"/>
  <c r="D198" i="3"/>
  <c r="G197" i="3"/>
  <c r="D197" i="3"/>
  <c r="F196" i="3"/>
  <c r="D196" i="3"/>
  <c r="E195" i="3"/>
  <c r="D195" i="3"/>
  <c r="I193" i="3"/>
  <c r="H193" i="3"/>
  <c r="G193" i="3"/>
  <c r="F193" i="3"/>
  <c r="E193" i="3"/>
  <c r="I192" i="3"/>
  <c r="H192" i="3"/>
  <c r="G192" i="3"/>
  <c r="F192" i="3"/>
  <c r="E192" i="3"/>
  <c r="I191" i="3"/>
  <c r="H191" i="3"/>
  <c r="G191" i="3"/>
  <c r="F191" i="3"/>
  <c r="E191" i="3"/>
  <c r="I188" i="3"/>
  <c r="H188" i="3"/>
  <c r="G188" i="3"/>
  <c r="F188" i="3"/>
  <c r="E188" i="3"/>
  <c r="I187" i="3"/>
  <c r="H187" i="3"/>
  <c r="G187" i="3"/>
  <c r="F187" i="3"/>
  <c r="E187" i="3"/>
  <c r="I185" i="3"/>
  <c r="D185" i="3"/>
  <c r="H184" i="3"/>
  <c r="D184" i="3"/>
  <c r="G183" i="3"/>
  <c r="D183" i="3"/>
  <c r="F182" i="3"/>
  <c r="D182" i="3"/>
  <c r="E181" i="3"/>
  <c r="D181" i="3"/>
  <c r="I179" i="3"/>
  <c r="H179" i="3"/>
  <c r="G179" i="3"/>
  <c r="F179" i="3"/>
  <c r="E179" i="3"/>
  <c r="I178" i="3"/>
  <c r="H178" i="3"/>
  <c r="G178" i="3"/>
  <c r="F178" i="3"/>
  <c r="E178" i="3"/>
  <c r="I177" i="3"/>
  <c r="H177" i="3"/>
  <c r="G177" i="3"/>
  <c r="F177" i="3"/>
  <c r="E177" i="3"/>
  <c r="I174" i="3"/>
  <c r="H174" i="3"/>
  <c r="G174" i="3"/>
  <c r="F174" i="3"/>
  <c r="E174" i="3"/>
  <c r="I173" i="3"/>
  <c r="H173" i="3"/>
  <c r="G173" i="3"/>
  <c r="F173" i="3"/>
  <c r="E173" i="3"/>
  <c r="I172" i="3"/>
  <c r="H172" i="3"/>
  <c r="G172" i="3"/>
  <c r="F172" i="3"/>
  <c r="E172" i="3"/>
  <c r="I170" i="3"/>
  <c r="D170" i="3"/>
  <c r="H169" i="3"/>
  <c r="D169" i="3"/>
  <c r="G168" i="3"/>
  <c r="D168" i="3"/>
  <c r="F167" i="3"/>
  <c r="D167" i="3"/>
  <c r="E166" i="3"/>
  <c r="D166" i="3"/>
  <c r="I164" i="3"/>
  <c r="H164" i="3"/>
  <c r="G164" i="3"/>
  <c r="F164" i="3"/>
  <c r="E164" i="3"/>
  <c r="I163" i="3"/>
  <c r="H163" i="3"/>
  <c r="G163" i="3"/>
  <c r="F163" i="3"/>
  <c r="E163" i="3"/>
  <c r="I162" i="3"/>
  <c r="H162" i="3"/>
  <c r="G162" i="3"/>
  <c r="F162" i="3"/>
  <c r="E162" i="3"/>
  <c r="I159" i="3"/>
  <c r="H159" i="3"/>
  <c r="G159" i="3"/>
  <c r="F159" i="3"/>
  <c r="E159" i="3"/>
  <c r="I158" i="3"/>
  <c r="H158" i="3"/>
  <c r="G158" i="3"/>
  <c r="F158" i="3"/>
  <c r="E158" i="3"/>
  <c r="I157" i="3"/>
  <c r="H157" i="3"/>
  <c r="G157" i="3"/>
  <c r="F157" i="3"/>
  <c r="E157" i="3"/>
  <c r="I156" i="3"/>
  <c r="H156" i="3"/>
  <c r="G156" i="3"/>
  <c r="F156" i="3"/>
  <c r="E156" i="3"/>
  <c r="I155" i="3"/>
  <c r="H155" i="3"/>
  <c r="G155" i="3"/>
  <c r="F155" i="3"/>
  <c r="E155" i="3"/>
  <c r="I154" i="3"/>
  <c r="H154" i="3"/>
  <c r="G154" i="3"/>
  <c r="F154" i="3"/>
  <c r="E154" i="3"/>
  <c r="I153" i="3"/>
  <c r="H153" i="3"/>
  <c r="G153" i="3"/>
  <c r="F153" i="3"/>
  <c r="E153" i="3"/>
  <c r="I152" i="3"/>
  <c r="H152" i="3"/>
  <c r="G152" i="3"/>
  <c r="F152" i="3"/>
  <c r="E152" i="3"/>
  <c r="I151" i="3"/>
  <c r="H151" i="3"/>
  <c r="G151" i="3"/>
  <c r="F151" i="3"/>
  <c r="E151" i="3"/>
  <c r="I150" i="3"/>
  <c r="H150" i="3"/>
  <c r="G150" i="3"/>
  <c r="F150" i="3"/>
  <c r="E150" i="3"/>
  <c r="I149" i="3"/>
  <c r="H149" i="3"/>
  <c r="G149" i="3"/>
  <c r="F149" i="3"/>
  <c r="E149" i="3"/>
  <c r="I148" i="3"/>
  <c r="H148" i="3"/>
  <c r="G148" i="3"/>
  <c r="F148" i="3"/>
  <c r="E148" i="3"/>
  <c r="I147" i="3"/>
  <c r="H147" i="3"/>
  <c r="G147" i="3"/>
  <c r="F147" i="3"/>
  <c r="E147" i="3"/>
  <c r="J141" i="3"/>
  <c r="I141" i="3"/>
  <c r="H141" i="3"/>
  <c r="G141" i="3"/>
  <c r="F141" i="3"/>
  <c r="E141" i="3"/>
  <c r="D141" i="3"/>
  <c r="J140" i="3"/>
  <c r="I140" i="3"/>
  <c r="H140" i="3"/>
  <c r="G140" i="3"/>
  <c r="F140" i="3"/>
  <c r="E140" i="3"/>
  <c r="J136" i="3"/>
  <c r="I136" i="3"/>
  <c r="H136" i="3"/>
  <c r="G136" i="3"/>
  <c r="F136" i="3"/>
  <c r="E136" i="3"/>
  <c r="D136" i="3"/>
  <c r="J135" i="3"/>
  <c r="I135" i="3"/>
  <c r="H135" i="3"/>
  <c r="G135" i="3"/>
  <c r="F135" i="3"/>
  <c r="E135" i="3"/>
  <c r="D135" i="3"/>
  <c r="J133" i="3"/>
  <c r="I133" i="3"/>
  <c r="H133" i="3"/>
  <c r="G133" i="3"/>
  <c r="F133" i="3"/>
  <c r="E133" i="3"/>
  <c r="D133" i="3"/>
  <c r="J130" i="3"/>
  <c r="I130" i="3"/>
  <c r="H130" i="3"/>
  <c r="G130" i="3"/>
  <c r="F130" i="3"/>
  <c r="E130" i="3"/>
  <c r="J129" i="3"/>
  <c r="I129" i="3"/>
  <c r="H129" i="3"/>
  <c r="G129" i="3"/>
  <c r="F129" i="3"/>
  <c r="E129" i="3"/>
  <c r="D129" i="3"/>
  <c r="D128" i="3"/>
  <c r="J127" i="3"/>
  <c r="I127" i="3"/>
  <c r="H127" i="3"/>
  <c r="G127" i="3"/>
  <c r="F127" i="3"/>
  <c r="E127" i="3"/>
  <c r="J124" i="3"/>
  <c r="I124" i="3"/>
  <c r="H124" i="3"/>
  <c r="G124" i="3"/>
  <c r="F124" i="3"/>
  <c r="E124" i="3"/>
  <c r="J123" i="3"/>
  <c r="I123" i="3"/>
  <c r="H123" i="3"/>
  <c r="G123" i="3"/>
  <c r="F123" i="3"/>
  <c r="E123" i="3"/>
  <c r="D123" i="3"/>
  <c r="J122" i="3"/>
  <c r="I122" i="3"/>
  <c r="H122" i="3"/>
  <c r="G122" i="3"/>
  <c r="F122" i="3"/>
  <c r="E122" i="3"/>
  <c r="D122" i="3"/>
  <c r="J121" i="3"/>
  <c r="I121" i="3"/>
  <c r="H121" i="3"/>
  <c r="G121" i="3"/>
  <c r="F121" i="3"/>
  <c r="E121" i="3"/>
  <c r="J114" i="3"/>
  <c r="I114" i="3"/>
  <c r="H114" i="3"/>
  <c r="G114" i="3"/>
  <c r="F114" i="3"/>
  <c r="E114" i="3"/>
  <c r="D114" i="3"/>
  <c r="J113" i="3"/>
  <c r="I113" i="3"/>
  <c r="H113" i="3"/>
  <c r="G113" i="3"/>
  <c r="F113" i="3"/>
  <c r="E113" i="3"/>
  <c r="J112" i="3"/>
  <c r="I112" i="3"/>
  <c r="H112" i="3"/>
  <c r="G112" i="3"/>
  <c r="F112" i="3"/>
  <c r="E112" i="3"/>
  <c r="D112" i="3"/>
  <c r="J111" i="3"/>
  <c r="I111" i="3"/>
  <c r="H111" i="3"/>
  <c r="G111" i="3"/>
  <c r="F111" i="3"/>
  <c r="E111" i="3"/>
  <c r="J110" i="3"/>
  <c r="I110" i="3"/>
  <c r="H110" i="3"/>
  <c r="G110" i="3"/>
  <c r="F110" i="3"/>
  <c r="E110" i="3"/>
  <c r="J109" i="3"/>
  <c r="I109" i="3"/>
  <c r="H109" i="3"/>
  <c r="G109" i="3"/>
  <c r="F109" i="3"/>
  <c r="E109" i="3"/>
  <c r="D109" i="3"/>
  <c r="J108" i="3"/>
  <c r="I108" i="3"/>
  <c r="H108" i="3"/>
  <c r="G108" i="3"/>
  <c r="F108" i="3"/>
  <c r="E108" i="3"/>
  <c r="J107" i="3"/>
  <c r="I107" i="3"/>
  <c r="H107" i="3"/>
  <c r="G107" i="3"/>
  <c r="F107" i="3"/>
  <c r="E107" i="3"/>
  <c r="D107" i="3"/>
  <c r="J106" i="3"/>
  <c r="I106" i="3"/>
  <c r="H106" i="3"/>
  <c r="G106" i="3"/>
  <c r="F106" i="3"/>
  <c r="E106" i="3"/>
  <c r="D106" i="3"/>
  <c r="C106" i="3"/>
  <c r="J104" i="3"/>
  <c r="I104" i="3"/>
  <c r="H104" i="3"/>
  <c r="G104" i="3"/>
  <c r="F104" i="3"/>
  <c r="E104" i="3"/>
  <c r="D104" i="3"/>
  <c r="C104" i="3"/>
  <c r="J103" i="3"/>
  <c r="I103" i="3"/>
  <c r="H103" i="3"/>
  <c r="G103" i="3"/>
  <c r="F103" i="3"/>
  <c r="E103" i="3"/>
  <c r="D103" i="3"/>
  <c r="C103" i="3"/>
  <c r="J102" i="3"/>
  <c r="I102" i="3"/>
  <c r="H102" i="3"/>
  <c r="G102" i="3"/>
  <c r="F102" i="3"/>
  <c r="E102" i="3"/>
  <c r="D102" i="3"/>
  <c r="C102" i="3"/>
  <c r="J101" i="3"/>
  <c r="I101" i="3"/>
  <c r="H101" i="3"/>
  <c r="G101" i="3"/>
  <c r="F101" i="3"/>
  <c r="E101" i="3"/>
  <c r="J100" i="3"/>
  <c r="I100" i="3"/>
  <c r="H100" i="3"/>
  <c r="G100" i="3"/>
  <c r="F100" i="3"/>
  <c r="E100" i="3"/>
  <c r="D100" i="3"/>
  <c r="C100" i="3"/>
  <c r="J99" i="3"/>
  <c r="I99" i="3"/>
  <c r="H99" i="3"/>
  <c r="G99" i="3"/>
  <c r="F99" i="3"/>
  <c r="E99" i="3"/>
  <c r="D99" i="3"/>
  <c r="C99" i="3"/>
  <c r="J98" i="3"/>
  <c r="I98" i="3"/>
  <c r="H98" i="3"/>
  <c r="G98" i="3"/>
  <c r="F98" i="3"/>
  <c r="E98" i="3"/>
  <c r="D98" i="3"/>
  <c r="C98" i="3"/>
  <c r="J97" i="3"/>
  <c r="E97" i="3"/>
  <c r="J96" i="3"/>
  <c r="I96" i="3"/>
  <c r="H96" i="3"/>
  <c r="G96" i="3"/>
  <c r="F96" i="3"/>
  <c r="D96" i="3"/>
  <c r="J95" i="3"/>
  <c r="E95" i="3"/>
  <c r="E88" i="3"/>
  <c r="D88" i="3"/>
  <c r="I87" i="3"/>
  <c r="D87" i="3"/>
  <c r="D84" i="3"/>
  <c r="D83" i="3"/>
  <c r="E81" i="3"/>
  <c r="D81" i="3"/>
  <c r="E80" i="3"/>
  <c r="D80" i="3"/>
  <c r="E79" i="3"/>
  <c r="D79" i="3"/>
  <c r="I77" i="3"/>
  <c r="E76" i="3"/>
  <c r="D76" i="3"/>
  <c r="I75" i="3"/>
  <c r="E75" i="3"/>
  <c r="D75" i="3"/>
  <c r="E74" i="3"/>
  <c r="D74" i="3"/>
  <c r="I73" i="3"/>
  <c r="I71" i="3"/>
  <c r="E71" i="3"/>
  <c r="D71" i="3"/>
  <c r="E70" i="3"/>
  <c r="D70" i="3"/>
  <c r="I69" i="3"/>
  <c r="E69" i="3"/>
  <c r="G63" i="3"/>
  <c r="F63" i="3"/>
  <c r="E63" i="3"/>
  <c r="D63" i="3"/>
  <c r="C63" i="3"/>
  <c r="G61" i="3"/>
  <c r="F61" i="3"/>
  <c r="E61" i="3"/>
  <c r="G60" i="3"/>
  <c r="F60" i="3"/>
  <c r="D60" i="3"/>
  <c r="C60" i="3"/>
  <c r="G59" i="3"/>
  <c r="F59" i="3"/>
  <c r="D59" i="3"/>
  <c r="C59" i="3"/>
  <c r="G58" i="3"/>
  <c r="F58" i="3"/>
  <c r="D58" i="3"/>
  <c r="C58" i="3"/>
  <c r="G57" i="3"/>
  <c r="F57" i="3"/>
  <c r="D57" i="3"/>
  <c r="C57" i="3"/>
  <c r="G56" i="3"/>
  <c r="F56" i="3"/>
  <c r="D56" i="3"/>
  <c r="C56" i="3"/>
  <c r="G55" i="3"/>
  <c r="F55" i="3"/>
  <c r="D55" i="3"/>
  <c r="C55" i="3"/>
  <c r="N50" i="3"/>
  <c r="M50" i="3"/>
  <c r="L50" i="3"/>
  <c r="K50" i="3"/>
  <c r="J50" i="3"/>
  <c r="I50" i="3"/>
  <c r="H50" i="3"/>
  <c r="F50" i="3"/>
  <c r="E50" i="3"/>
  <c r="D50" i="3"/>
  <c r="C50" i="3"/>
  <c r="J48" i="3"/>
  <c r="I48" i="3"/>
  <c r="H48" i="3"/>
  <c r="F48" i="3"/>
  <c r="E48" i="3"/>
  <c r="N47" i="3"/>
  <c r="J47" i="3"/>
  <c r="I47" i="3"/>
  <c r="H47" i="3"/>
  <c r="F47" i="3"/>
  <c r="E47" i="3"/>
  <c r="N46" i="3"/>
  <c r="M46" i="3"/>
  <c r="L46" i="3"/>
  <c r="K46" i="3"/>
  <c r="J46" i="3"/>
  <c r="I46" i="3"/>
  <c r="H46" i="3"/>
  <c r="F46" i="3"/>
  <c r="E46" i="3"/>
  <c r="N43" i="3"/>
  <c r="M43" i="3"/>
  <c r="L43" i="3"/>
  <c r="J43" i="3"/>
  <c r="I43" i="3"/>
  <c r="H43" i="3"/>
  <c r="F43" i="3"/>
  <c r="E43" i="3"/>
  <c r="N42" i="3"/>
  <c r="M42" i="3"/>
  <c r="L42" i="3"/>
  <c r="J42" i="3"/>
  <c r="I42" i="3"/>
  <c r="H42" i="3"/>
  <c r="F42" i="3"/>
  <c r="E42" i="3"/>
  <c r="F41" i="3"/>
  <c r="F40" i="3"/>
  <c r="N39" i="3"/>
  <c r="M39" i="3"/>
  <c r="L39" i="3"/>
  <c r="J39" i="3"/>
  <c r="I39" i="3"/>
  <c r="H39" i="3"/>
  <c r="F39" i="3"/>
  <c r="E39" i="3"/>
  <c r="N38" i="3"/>
  <c r="M38" i="3"/>
  <c r="L38" i="3"/>
  <c r="J38" i="3"/>
  <c r="I38" i="3"/>
  <c r="H38" i="3"/>
  <c r="F38" i="3"/>
  <c r="E38" i="3"/>
  <c r="N37" i="3"/>
  <c r="M37" i="3"/>
  <c r="L37" i="3"/>
  <c r="J37" i="3"/>
  <c r="I37" i="3"/>
  <c r="H37" i="3"/>
  <c r="F37" i="3"/>
  <c r="E37" i="3"/>
  <c r="K36" i="3"/>
  <c r="F36" i="3"/>
  <c r="K35" i="3"/>
  <c r="F35" i="3"/>
  <c r="N34" i="3"/>
  <c r="M34" i="3"/>
  <c r="L34" i="3"/>
  <c r="K34" i="3"/>
  <c r="J34" i="3"/>
  <c r="I34" i="3"/>
  <c r="H34" i="3"/>
  <c r="F34" i="3"/>
  <c r="E34" i="3"/>
  <c r="N33" i="3"/>
  <c r="M33" i="3"/>
  <c r="L33" i="3"/>
  <c r="K33" i="3"/>
  <c r="J33" i="3"/>
  <c r="I33" i="3"/>
  <c r="H33" i="3"/>
  <c r="F33" i="3"/>
  <c r="E33" i="3"/>
  <c r="N32" i="3"/>
  <c r="M32" i="3"/>
  <c r="L32" i="3"/>
  <c r="K32" i="3"/>
  <c r="J32" i="3"/>
  <c r="I32" i="3"/>
  <c r="H32" i="3"/>
  <c r="F32" i="3"/>
  <c r="E32" i="3"/>
  <c r="D24" i="3"/>
  <c r="H12" i="3"/>
  <c r="H9" i="3"/>
  <c r="M8" i="3"/>
  <c r="H8" i="3"/>
</calcChain>
</file>

<file path=xl/sharedStrings.xml><?xml version="1.0" encoding="utf-8"?>
<sst xmlns="http://schemas.openxmlformats.org/spreadsheetml/2006/main" count="528" uniqueCount="325">
  <si>
    <t>Calculation</t>
  </si>
  <si>
    <t>Black</t>
  </si>
  <si>
    <t>Input</t>
  </si>
  <si>
    <t>Blue</t>
  </si>
  <si>
    <t>Company Financials (£m)</t>
  </si>
  <si>
    <t>Revenue</t>
  </si>
  <si>
    <t>EBITDA</t>
  </si>
  <si>
    <t>Current Shareholdings (Diluted)</t>
  </si>
  <si>
    <t>Other assumptions</t>
  </si>
  <si>
    <t>Tax</t>
  </si>
  <si>
    <t>Chairman</t>
  </si>
  <si>
    <t>CAPEX</t>
  </si>
  <si>
    <t>CEO</t>
  </si>
  <si>
    <t>Working capital</t>
  </si>
  <si>
    <t>Sales Director</t>
  </si>
  <si>
    <t>Yield on senior debt</t>
  </si>
  <si>
    <t>Operations Director</t>
  </si>
  <si>
    <t>Deal fees</t>
  </si>
  <si>
    <t>Head of US</t>
  </si>
  <si>
    <t>Cash at Bank</t>
  </si>
  <si>
    <t>External shareholders</t>
  </si>
  <si>
    <t xml:space="preserve">Employees </t>
  </si>
  <si>
    <t>Option holders</t>
  </si>
  <si>
    <t>Valuation Comparison</t>
  </si>
  <si>
    <t>LBO Implied EV/EBITDA</t>
  </si>
  <si>
    <t>(Entry Multiple)</t>
  </si>
  <si>
    <t>DCF Exit Multiple</t>
  </si>
  <si>
    <t>(Implied EV/EBITDA)</t>
  </si>
  <si>
    <t>Public Comps</t>
  </si>
  <si>
    <t>Precedent  Transactions</t>
  </si>
  <si>
    <t>Median</t>
  </si>
  <si>
    <t>Note: Median used for Public Comps, Lower Quartile used for Precedent Transactions</t>
  </si>
  <si>
    <t>Visante - LBO Model</t>
  </si>
  <si>
    <t>X</t>
  </si>
  <si>
    <t>Assumptions</t>
  </si>
  <si>
    <t>Inputs</t>
  </si>
  <si>
    <t>Valuation related</t>
  </si>
  <si>
    <t>Transaction Timings</t>
  </si>
  <si>
    <t>Entry EBITDA</t>
  </si>
  <si>
    <t>Financial Year-end</t>
  </si>
  <si>
    <t>Entry Enterprise Value</t>
  </si>
  <si>
    <t>Targeted Completion Date</t>
  </si>
  <si>
    <t>Implied Multiple</t>
  </si>
  <si>
    <t>Year Fraction</t>
  </si>
  <si>
    <t>Operating related</t>
  </si>
  <si>
    <t>EV</t>
  </si>
  <si>
    <t>Net cash/ (debt)</t>
  </si>
  <si>
    <t xml:space="preserve">Working Capital Adj. </t>
  </si>
  <si>
    <t>&lt;&lt; At this stage, assumed to be no adjustment</t>
  </si>
  <si>
    <t>EqV</t>
  </si>
  <si>
    <t>Cash at Bank (£m)</t>
  </si>
  <si>
    <t>Debt related</t>
  </si>
  <si>
    <t>Yield</t>
  </si>
  <si>
    <t>Split</t>
  </si>
  <si>
    <t>Maturity</t>
  </si>
  <si>
    <t>FY30 Revenue Growth</t>
  </si>
  <si>
    <t>TLA - Ammortising</t>
  </si>
  <si>
    <t>FY30 EBITDA Margin</t>
  </si>
  <si>
    <t>TLB  - Bullet</t>
  </si>
  <si>
    <t>`</t>
  </si>
  <si>
    <t>Transaction related</t>
  </si>
  <si>
    <t>Debt Raised (£m)</t>
  </si>
  <si>
    <t>Completion Consideration</t>
  </si>
  <si>
    <t>Buyside Fees and Expenses (£m)</t>
  </si>
  <si>
    <t>Cirularity</t>
  </si>
  <si>
    <t>Yes</t>
  </si>
  <si>
    <t>Sweet Equity</t>
  </si>
  <si>
    <t>Pref/ Loan Notes</t>
  </si>
  <si>
    <t>Ordinary Equity</t>
  </si>
  <si>
    <t>Loan Note  rate</t>
  </si>
  <si>
    <t>&lt;&lt; Assumed PIK</t>
  </si>
  <si>
    <t>Cap Table</t>
  </si>
  <si>
    <t>Shareholder/ Stakeholder</t>
  </si>
  <si>
    <t># Shares</t>
  </si>
  <si>
    <t>% Holding</t>
  </si>
  <si>
    <t>Gross Proceeds</t>
  </si>
  <si>
    <t>Sellers' Fees</t>
  </si>
  <si>
    <t>Rollover</t>
  </si>
  <si>
    <t>Rolled Ownership %</t>
  </si>
  <si>
    <t>Rollover (£m)</t>
  </si>
  <si>
    <t>Cashout</t>
  </si>
  <si>
    <t>New capital</t>
  </si>
  <si>
    <t>NewCo Capital</t>
  </si>
  <si>
    <t>NewCo LN  (£m)</t>
  </si>
  <si>
    <t>NewCo Equity (£m)</t>
  </si>
  <si>
    <t>Non  Participating</t>
  </si>
  <si>
    <t>Visante Management</t>
  </si>
  <si>
    <t>Visante Employees</t>
  </si>
  <si>
    <t>Existing Option holders</t>
  </si>
  <si>
    <t>New Capital</t>
  </si>
  <si>
    <t>XPE</t>
  </si>
  <si>
    <t>Debt</t>
  </si>
  <si>
    <t>Total</t>
  </si>
  <si>
    <t>Shareholder</t>
  </si>
  <si>
    <t>NewCo  Equity</t>
  </si>
  <si>
    <t>Pre-dilution</t>
  </si>
  <si>
    <t>Options</t>
  </si>
  <si>
    <t>Post- dilution</t>
  </si>
  <si>
    <t>Diluted Equity</t>
  </si>
  <si>
    <t>Sources and Uses</t>
  </si>
  <si>
    <t>Sources</t>
  </si>
  <si>
    <t>Uses</t>
  </si>
  <si>
    <t>TLA - 7-year Ammortising</t>
  </si>
  <si>
    <t>TLB - 7-year Bullet</t>
  </si>
  <si>
    <t>Net Cash/ (debt) to be extracted</t>
  </si>
  <si>
    <t>Loan Notes</t>
  </si>
  <si>
    <t>Visnte Management Rollover</t>
  </si>
  <si>
    <t>Vistane Employees Rollover</t>
  </si>
  <si>
    <t>Buyside Fees and Expenses</t>
  </si>
  <si>
    <t>Equity (Pre-Dilution)</t>
  </si>
  <si>
    <t>Percentage of Equity</t>
  </si>
  <si>
    <t>Net Cash/ (debt)</t>
  </si>
  <si>
    <t>Net Cash/(Debt) rolled into NewCo structure</t>
  </si>
  <si>
    <t>Total Sources</t>
  </si>
  <si>
    <t>Total Uses</t>
  </si>
  <si>
    <t>Check (Sources - Uses)</t>
  </si>
  <si>
    <t>Income &amp; Cash Flow Statement</t>
  </si>
  <si>
    <t>Q425F</t>
  </si>
  <si>
    <t>Growth - %</t>
  </si>
  <si>
    <t>Margin - %</t>
  </si>
  <si>
    <t>Less: D&amp;A</t>
  </si>
  <si>
    <t>EBIT</t>
  </si>
  <si>
    <t>Less: Interest Expense</t>
  </si>
  <si>
    <t>PBT</t>
  </si>
  <si>
    <t>Less: Taxes</t>
  </si>
  <si>
    <t>Net Income</t>
  </si>
  <si>
    <t>Plus: D&amp;A</t>
  </si>
  <si>
    <t>Plus: PIK Interest</t>
  </si>
  <si>
    <t>Less: CapEx</t>
  </si>
  <si>
    <t>Less: Increase in NWC</t>
  </si>
  <si>
    <t>Less: Debt Paydown</t>
  </si>
  <si>
    <t>FCFE/Levered Free Cash Flow</t>
  </si>
  <si>
    <t>Beginning Cash Balance</t>
  </si>
  <si>
    <t>Ending Cash Balance</t>
  </si>
  <si>
    <t>Debt &amp; Interest Schedule</t>
  </si>
  <si>
    <t>Completion</t>
  </si>
  <si>
    <t>B/f Balance</t>
  </si>
  <si>
    <t>Issuance/ (repayment)</t>
  </si>
  <si>
    <t>C/f Balance</t>
  </si>
  <si>
    <t>Interest</t>
  </si>
  <si>
    <t>PIK Interest (Accruing)</t>
  </si>
  <si>
    <t>Total Interest Expense</t>
  </si>
  <si>
    <t>Total Debt</t>
  </si>
  <si>
    <t>Returns Schedule</t>
  </si>
  <si>
    <t>Exit Multiple (same as Entry)</t>
  </si>
  <si>
    <t xml:space="preserve">Enterprise Value </t>
  </si>
  <si>
    <t>Plus: Cash</t>
  </si>
  <si>
    <t>Less: Bank Debt</t>
  </si>
  <si>
    <t>Less: Loan Notes</t>
  </si>
  <si>
    <t xml:space="preserve">Equity Value </t>
  </si>
  <si>
    <t>Visante Management %</t>
  </si>
  <si>
    <t>Visante Employees %</t>
  </si>
  <si>
    <t>XPE %</t>
  </si>
  <si>
    <t xml:space="preserve">Visante Management </t>
  </si>
  <si>
    <t xml:space="preserve"> </t>
  </si>
  <si>
    <t xml:space="preserve">Visante Employees </t>
  </si>
  <si>
    <t>Visante Management Returns</t>
  </si>
  <si>
    <t>Equity</t>
  </si>
  <si>
    <t>Total - Visante Management</t>
  </si>
  <si>
    <t>Exit Year 2026</t>
  </si>
  <si>
    <t>Exit Year 2027</t>
  </si>
  <si>
    <t>Exit Year 2028</t>
  </si>
  <si>
    <t>Exit Year 2029</t>
  </si>
  <si>
    <t>Exit Year 2030</t>
  </si>
  <si>
    <t>IRR</t>
  </si>
  <si>
    <t>MOIC</t>
  </si>
  <si>
    <t>Envy Ratio</t>
  </si>
  <si>
    <t>XPE Rturns</t>
  </si>
  <si>
    <t>Visante  Employees</t>
  </si>
  <si>
    <t>Supporting Calculations</t>
  </si>
  <si>
    <t>CapEx</t>
  </si>
  <si>
    <t>Working Capital</t>
  </si>
  <si>
    <t>End</t>
  </si>
  <si>
    <t>Visante - DCF Model</t>
  </si>
  <si>
    <t>x</t>
  </si>
  <si>
    <t>Perpetuity Growth</t>
  </si>
  <si>
    <t>Exit Multiple</t>
  </si>
  <si>
    <t>Tax Rate</t>
  </si>
  <si>
    <t xml:space="preserve">Long-term Debt/Equity </t>
  </si>
  <si>
    <t>WACC</t>
  </si>
  <si>
    <t>Cost of Debt</t>
  </si>
  <si>
    <t>Beta</t>
  </si>
  <si>
    <t>Computer services</t>
  </si>
  <si>
    <t>Risk Free Rate</t>
  </si>
  <si>
    <t>Business and consumer services</t>
  </si>
  <si>
    <t>Equity Risk Premium</t>
  </si>
  <si>
    <t>Information Services</t>
  </si>
  <si>
    <t>Unlevered Beta</t>
  </si>
  <si>
    <t>Average</t>
  </si>
  <si>
    <t>Levered Beta</t>
  </si>
  <si>
    <t>Cost of Equity</t>
  </si>
  <si>
    <t xml:space="preserve">Equity </t>
  </si>
  <si>
    <t>Debt + Equity</t>
  </si>
  <si>
    <t>Size Premium</t>
  </si>
  <si>
    <t xml:space="preserve">DCF </t>
  </si>
  <si>
    <t>Growth</t>
  </si>
  <si>
    <t>Less D&amp;A</t>
  </si>
  <si>
    <t>Free Cash Fl ow (FCF)</t>
  </si>
  <si>
    <t>Period</t>
  </si>
  <si>
    <t>Discount Factor</t>
  </si>
  <si>
    <t>PV of FCF</t>
  </si>
  <si>
    <t>Sum of PV of FCF</t>
  </si>
  <si>
    <t>Enterprise Value - PGM</t>
  </si>
  <si>
    <t>Enterprise Value - EMM</t>
  </si>
  <si>
    <t xml:space="preserve">Terminal Value </t>
  </si>
  <si>
    <t>PV of Terminal Value</t>
  </si>
  <si>
    <t>Cumulative FCF</t>
  </si>
  <si>
    <t>Enterprise Value</t>
  </si>
  <si>
    <t>Terminal Year EBITDA</t>
  </si>
  <si>
    <t>Implied EV/EBITDA</t>
  </si>
  <si>
    <t>Debt/Equity</t>
  </si>
  <si>
    <t>Visante - Public Comparibles</t>
  </si>
  <si>
    <t>Valuation Metrics</t>
  </si>
  <si>
    <t>Price (£)</t>
  </si>
  <si>
    <t>Shares</t>
  </si>
  <si>
    <t>Market</t>
  </si>
  <si>
    <t xml:space="preserve">Enterprise </t>
  </si>
  <si>
    <t>Location</t>
  </si>
  <si>
    <t>Description</t>
  </si>
  <si>
    <t>Company</t>
  </si>
  <si>
    <t>Oustanding (m)</t>
  </si>
  <si>
    <t>Cap (£m)</t>
  </si>
  <si>
    <t>Cash</t>
  </si>
  <si>
    <t>Value</t>
  </si>
  <si>
    <t>LYE</t>
  </si>
  <si>
    <t>Bytes Technology Group plc</t>
  </si>
  <si>
    <t>UK</t>
  </si>
  <si>
    <t>IT software and hardware distributor with strong managed services, security, and cloud solutions for business customers.</t>
  </si>
  <si>
    <t>Computacenter plc</t>
  </si>
  <si>
    <t>Provides IT infrastructure, supply chain management, managed services, and consulting to large organizations.</t>
  </si>
  <si>
    <t>FDM Group (Holdings) plc</t>
  </si>
  <si>
    <t>Graduate recruitment, IT skills training, and staff augmentation—places consultants with clients on long-term contracts.</t>
  </si>
  <si>
    <t>Softcat plc</t>
  </si>
  <si>
    <t>IT infrastructure reseller with managed services, security, cloud, and software licensing overlays.</t>
  </si>
  <si>
    <t>TPXimpact Holdings plc</t>
  </si>
  <si>
    <t>Digital consulting for the UK public sector, focusing on cloud, transformation, and gov.uk project delivery.</t>
  </si>
  <si>
    <t>Kainos Group plc</t>
  </si>
  <si>
    <t xml:space="preserve">Kainos Group plc is a United Kingdom-based information technology (IT) provider. The Company operates through three divisions, including Digital Services, Workday Services, and Workday Products. </t>
  </si>
  <si>
    <t>Cerillion plc</t>
  </si>
  <si>
    <t>Cerillion plc is a United Kingdom-based software solutions provider for billing, charging and customer relationship management (CRM).</t>
  </si>
  <si>
    <t>dotdigital Group plc</t>
  </si>
  <si>
    <t xml:space="preserve">Dotdigital Group plc is a United Kingdom-based software-as-a-service (SaaS) provider of an all-in-one customer experience and data platform (CXDP). </t>
  </si>
  <si>
    <t>Idox plc</t>
  </si>
  <si>
    <t xml:space="preserve">Idox plc is a supplier of specialist information management software and geospatial data solutions to the public and asset-intensive sectors. </t>
  </si>
  <si>
    <t>Gamma Communications plc</t>
  </si>
  <si>
    <t>A UK-based provider of unified communications as a service (UCaaS), telecom, and connectivity solutions. Serving SMEs, large enterprises, and public sector across Europe, Gamma delivers telephony, mobile, broadband, cloud, and collaboration products over its own network infrastructure</t>
  </si>
  <si>
    <t>Team Internet Group plc</t>
  </si>
  <si>
    <t>Formerly CentralNic Group plc, this is a British multinational internet services company. It operates in two main segments: Online Marketing (generating digital advertising and traffic monetization revenue) and Online Presence (providing domain registration, management, and associated services globally).</t>
  </si>
  <si>
    <t>Datrix Group plc</t>
  </si>
  <si>
    <t>Italy</t>
  </si>
  <si>
    <t xml:space="preserve">Datrix SpA is an Italy-based company that provides augmented analytics software and service solutions based on proprietary artificial intelligence (AI) technologies for marketing, sales, publishing and finance purposes. </t>
  </si>
  <si>
    <t>Sopra Steria Group SA</t>
  </si>
  <si>
    <t>France</t>
  </si>
  <si>
    <t>European IT consulting and digital transformation company serving public sector, finance, defense, and transportation clients.</t>
  </si>
  <si>
    <t>Atos SE</t>
  </si>
  <si>
    <t>Multinational IT services and consulting specializing in digital transformation, cloud, cybersecurity, and HPC.</t>
  </si>
  <si>
    <t>25th Percentile</t>
  </si>
  <si>
    <t>75th Percentile</t>
  </si>
  <si>
    <t>Exchange rate used (Eur/GBP)</t>
  </si>
  <si>
    <t>Financial Data from Financial Times</t>
  </si>
  <si>
    <t>Cash, debt, revenue and EBITDA based on latest Year-end information available</t>
  </si>
  <si>
    <t>Visante - Precedent Transactions</t>
  </si>
  <si>
    <t>Year</t>
  </si>
  <si>
    <t>Target Name</t>
  </si>
  <si>
    <t>Country</t>
  </si>
  <si>
    <t>Acquirer</t>
  </si>
  <si>
    <t>Deal Value (£m)</t>
  </si>
  <si>
    <t>Target Revenue (£m)</t>
  </si>
  <si>
    <t>Target EBITDA (£m)</t>
  </si>
  <si>
    <t>EV/Revenue Multiple</t>
  </si>
  <si>
    <t>EV/EBITDA Multiple</t>
  </si>
  <si>
    <t>Business Focus</t>
  </si>
  <si>
    <t>Oakland Group Services</t>
  </si>
  <si>
    <t>Data &amp; AI strategy consulting</t>
  </si>
  <si>
    <t>Fox Crypto</t>
  </si>
  <si>
    <t>CR Group Nordic AB</t>
  </si>
  <si>
    <t>Cryptographic products</t>
  </si>
  <si>
    <t>Context Information Security</t>
  </si>
  <si>
    <t>Accenture plc</t>
  </si>
  <si>
    <t>Cybersecurity consulting</t>
  </si>
  <si>
    <t>Elastacloud</t>
  </si>
  <si>
    <t>Acora</t>
  </si>
  <si>
    <t>Undisclosed</t>
  </si>
  <si>
    <t>Small</t>
  </si>
  <si>
    <t>Data science &amp; AI (Microsoft Azure)</t>
  </si>
  <si>
    <t>Risk Crew</t>
  </si>
  <si>
    <t>Red Helix (LDC-backed)</t>
  </si>
  <si>
    <t>GRC &amp; penetration testing</t>
  </si>
  <si>
    <t>Solsoft Group</t>
  </si>
  <si>
    <t>Ekco (Ireland MSP)</t>
  </si>
  <si>
    <t>MSP for SMEs</t>
  </si>
  <si>
    <t>BJSS</t>
  </si>
  <si>
    <t>CGI Inc</t>
  </si>
  <si>
    <t>Digital transformation consulting</t>
  </si>
  <si>
    <t>Planalyse BV</t>
  </si>
  <si>
    <t>Netherlands</t>
  </si>
  <si>
    <t>Kainos Group</t>
  </si>
  <si>
    <t>Workday Adaptive Planning</t>
  </si>
  <si>
    <t>Blackline Group Inc</t>
  </si>
  <si>
    <t>USA</t>
  </si>
  <si>
    <t>Workday Strategic Sourcing</t>
  </si>
  <si>
    <t>CyberCrowd</t>
  </si>
  <si>
    <t>Limerston Capital (PE)</t>
  </si>
  <si>
    <t>Cybersecurity consultancy</t>
  </si>
  <si>
    <t>DigitalXRAID</t>
  </si>
  <si>
    <t>Managed security (MSSP)</t>
  </si>
  <si>
    <t>40fi</t>
  </si>
  <si>
    <t>Vorboss</t>
  </si>
  <si>
    <t>Small-mid</t>
  </si>
  <si>
    <t>Managed cybersecurity</t>
  </si>
  <si>
    <t>Armadillo Managed Services</t>
  </si>
  <si>
    <t>Transputec</t>
  </si>
  <si>
    <t>Cyber resilience &amp; infrastructure</t>
  </si>
  <si>
    <t>Technique Ltd</t>
  </si>
  <si>
    <t>Pixel Holdco (Chiltern PE)</t>
  </si>
  <si>
    <t>IT managed services</t>
  </si>
  <si>
    <t>Data &amp; AI for enterprises</t>
  </si>
  <si>
    <t>Engine B</t>
  </si>
  <si>
    <t>CLA UK</t>
  </si>
  <si>
    <t>Generative AI solutions</t>
  </si>
  <si>
    <t>3DOT Solutions</t>
  </si>
  <si>
    <t>Nortal</t>
  </si>
  <si>
    <t>UK Armed Forces cyber</t>
  </si>
  <si>
    <t>Cyphra</t>
  </si>
  <si>
    <t>Cybersecurity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</si>
</sst>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6" formatCode="_ * #,##0.00_ ;_ * \-#,##0.00_ ;_ * &quot;-&quot;??_ ;_ @_ "/>
    <numFmt numFmtId="168" formatCode="0.0\x"/>
    <numFmt numFmtId="169" formatCode="#,##0.0\x;\-#,##0.0\ "/>
    <numFmt numFmtId="170" formatCode="_-* #,##0.00;\(#,##0.00\);_-* &quot;-&quot;_-;_-@_-"/>
    <numFmt numFmtId="171" formatCode="_-* #,##0;\(#,##0\);_-* &quot;-&quot;_-;_-@_-"/>
    <numFmt numFmtId="172" formatCode="0.0%"/>
    <numFmt numFmtId="173" formatCode="0.00\x"/>
    <numFmt numFmtId="174" formatCode="0.000"/>
    <numFmt numFmtId="175" formatCode="0.0"/>
    <numFmt numFmtId="176" formatCode="mmm\ yy&quot;B&quot;"/>
    <numFmt numFmtId="177" formatCode="mmm\ yy&quot;F&quot;"/>
    <numFmt numFmtId="178" formatCode="_-* #,##0.0;\(#,##0.0\);_-* &quot;-&quot;_-;_-@_-"/>
    <numFmt numFmtId="179" formatCode="_-* #,##0.0;\(#,##0.0\);_-* &quot;-&quot;?_-;_-@_-"/>
    <numFmt numFmtId="180" formatCode="#,##0.0"/>
    <numFmt numFmtId="181" formatCode="_-* #,##0.0_-;\-* #,##0.0_-;_-* &quot;-&quot;?_-;_-@_-"/>
    <numFmt numFmtId="182" formatCode="&quot;Year &quot;General"/>
    <numFmt numFmtId="183" formatCode="mmm\ yy&quot;A&quot;"/>
    <numFmt numFmtId="184" formatCode="&quot;£&quot;0.000&quot;m&quot;"/>
  </numFmts>
  <fonts count="36">
    <font>
      <sz val="11"/>
      <color theme="1"/>
      <name val="Calibri"/>
      <charset val="134"/>
      <scheme val="minor"/>
    </font>
    <font>
      <b/>
      <sz val="9"/>
      <color theme="0"/>
      <name val="Aptos Narrow"/>
      <charset val="134"/>
    </font>
    <font>
      <sz val="9"/>
      <color theme="1"/>
      <name val="Aptos Narrow"/>
      <charset val="134"/>
    </font>
    <font>
      <b/>
      <sz val="11"/>
      <color theme="0"/>
      <name val="Aptos Narrow"/>
      <charset val="134"/>
    </font>
    <font>
      <b/>
      <sz val="9"/>
      <color theme="1"/>
      <name val="Aptos Narrow"/>
      <charset val="134"/>
    </font>
    <font>
      <sz val="9"/>
      <name val="Aptos Narrow"/>
      <charset val="134"/>
    </font>
    <font>
      <sz val="9"/>
      <color theme="4"/>
      <name val="Aptos Narrow"/>
      <charset val="134"/>
    </font>
    <font>
      <sz val="9"/>
      <color theme="8" tint="-0.249977111117893"/>
      <name val="Aptos Narrow"/>
      <charset val="134"/>
    </font>
    <font>
      <b/>
      <i/>
      <sz val="9"/>
      <color theme="1"/>
      <name val="Aptos Narrow"/>
      <charset val="134"/>
    </font>
    <font>
      <sz val="9"/>
      <color theme="4" tint="-0.499984740745262"/>
      <name val="Aptos Narrow"/>
      <charset val="134"/>
    </font>
    <font>
      <sz val="9"/>
      <color rgb="FFFF0000"/>
      <name val="Aptos Narrow"/>
      <charset val="134"/>
    </font>
    <font>
      <b/>
      <u/>
      <sz val="9"/>
      <color theme="1"/>
      <name val="Aptos Narrow"/>
      <charset val="134"/>
    </font>
    <font>
      <u/>
      <sz val="9"/>
      <color theme="10"/>
      <name val="Aptos Narrow"/>
      <charset val="134"/>
    </font>
    <font>
      <b/>
      <sz val="9"/>
      <name val="Aptos Narrow"/>
      <charset val="134"/>
    </font>
    <font>
      <b/>
      <i/>
      <sz val="9"/>
      <color theme="0"/>
      <name val="Aptos Narrow"/>
      <charset val="134"/>
    </font>
    <font>
      <b/>
      <sz val="9"/>
      <color theme="4" tint="-0.499984740745262"/>
      <name val="Aptos Narrow"/>
      <charset val="134"/>
    </font>
    <font>
      <i/>
      <sz val="9"/>
      <color theme="1"/>
      <name val="Aptos Narrow"/>
      <charset val="134"/>
    </font>
    <font>
      <sz val="9"/>
      <color theme="8" tint="0.39994506668294322"/>
      <name val="Aptos Narrow"/>
      <charset val="134"/>
    </font>
    <font>
      <u/>
      <sz val="9"/>
      <color theme="0"/>
      <name val="Aptos Narrow"/>
      <charset val="134"/>
    </font>
    <font>
      <i/>
      <sz val="8"/>
      <color theme="1"/>
      <name val="Aptos Narrow"/>
      <charset val="134"/>
    </font>
    <font>
      <i/>
      <sz val="9"/>
      <color rgb="FFFF0000"/>
      <name val="Aptos Narrow"/>
      <charset val="134"/>
    </font>
    <font>
      <i/>
      <u/>
      <sz val="9"/>
      <color theme="1"/>
      <name val="Aptos Narrow"/>
      <charset val="134"/>
    </font>
    <font>
      <i/>
      <u/>
      <sz val="9"/>
      <color theme="0"/>
      <name val="Aptos Narrow"/>
      <charset val="134"/>
    </font>
    <font>
      <b/>
      <u/>
      <sz val="9"/>
      <name val="Aptos Narrow"/>
      <charset val="134"/>
    </font>
    <font>
      <sz val="9"/>
      <color theme="0"/>
      <name val="Aptos Narrow"/>
      <charset val="134"/>
    </font>
    <font>
      <b/>
      <sz val="11"/>
      <name val="Calibri"/>
      <charset val="134"/>
      <scheme val="minor"/>
    </font>
    <font>
      <b/>
      <sz val="9"/>
      <color theme="8" tint="-0.249977111117893"/>
      <name val="Aptos Narrow"/>
      <charset val="134"/>
    </font>
    <font>
      <i/>
      <sz val="8"/>
      <color theme="4" tint="-0.499984740745262"/>
      <name val="Aptos Narrow"/>
      <charset val="134"/>
    </font>
    <font>
      <i/>
      <sz val="8"/>
      <color rgb="FFFF0000"/>
      <name val="Aptos Narrow"/>
      <charset val="134"/>
    </font>
    <font>
      <b/>
      <u/>
      <sz val="11"/>
      <color theme="0"/>
      <name val="Aptos Narrow"/>
      <charset val="134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4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35" fillId="0" borderId="0"/>
    <xf numFmtId="0" fontId="34" fillId="0" borderId="0"/>
  </cellStyleXfs>
  <cellXfs count="23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8" fontId="2" fillId="0" borderId="0" xfId="0" applyNumberFormat="1" applyFont="1"/>
    <xf numFmtId="0" fontId="4" fillId="0" borderId="1" xfId="0" applyFont="1" applyBorder="1"/>
    <xf numFmtId="169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169" fontId="4" fillId="0" borderId="0" xfId="0" applyNumberFormat="1" applyFont="1" applyAlignment="1">
      <alignment horizontal="center"/>
    </xf>
    <xf numFmtId="0" fontId="4" fillId="0" borderId="2" xfId="0" applyFont="1" applyBorder="1"/>
    <xf numFmtId="169" fontId="4" fillId="0" borderId="2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70" fontId="7" fillId="0" borderId="0" xfId="0" applyNumberFormat="1" applyFont="1" applyAlignment="1">
      <alignment vertical="center"/>
    </xf>
    <xf numFmtId="170" fontId="7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171" fontId="7" fillId="0" borderId="0" xfId="0" applyNumberFormat="1" applyFont="1" applyAlignment="1">
      <alignment vertical="center"/>
    </xf>
    <xf numFmtId="169" fontId="2" fillId="0" borderId="0" xfId="0" applyNumberFormat="1" applyFont="1" applyAlignment="1">
      <alignment horizontal="center" vertical="center"/>
    </xf>
    <xf numFmtId="0" fontId="8" fillId="0" borderId="0" xfId="0" applyFont="1"/>
    <xf numFmtId="2" fontId="8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9" fillId="0" borderId="0" xfId="0" applyFont="1"/>
    <xf numFmtId="0" fontId="9" fillId="2" borderId="0" xfId="0" applyFont="1" applyFill="1"/>
    <xf numFmtId="172" fontId="7" fillId="0" borderId="0" xfId="1" applyNumberFormat="1" applyFont="1"/>
    <xf numFmtId="14" fontId="2" fillId="0" borderId="0" xfId="0" applyNumberFormat="1" applyFont="1"/>
    <xf numFmtId="173" fontId="2" fillId="0" borderId="0" xfId="0" applyNumberFormat="1" applyFont="1"/>
    <xf numFmtId="9" fontId="2" fillId="0" borderId="0" xfId="1" applyFont="1"/>
    <xf numFmtId="174" fontId="4" fillId="0" borderId="1" xfId="0" applyNumberFormat="1" applyFont="1" applyBorder="1"/>
    <xf numFmtId="172" fontId="2" fillId="0" borderId="0" xfId="1" applyNumberFormat="1" applyFont="1"/>
    <xf numFmtId="0" fontId="10" fillId="0" borderId="0" xfId="0" applyFont="1"/>
    <xf numFmtId="2" fontId="2" fillId="0" borderId="0" xfId="1" applyNumberFormat="1" applyFont="1"/>
    <xf numFmtId="0" fontId="11" fillId="0" borderId="0" xfId="0" applyFont="1"/>
    <xf numFmtId="0" fontId="12" fillId="0" borderId="0" xfId="2" applyFont="1"/>
    <xf numFmtId="10" fontId="7" fillId="0" borderId="0" xfId="1" applyNumberFormat="1" applyFont="1"/>
    <xf numFmtId="2" fontId="2" fillId="0" borderId="0" xfId="0" applyNumberFormat="1" applyFont="1"/>
    <xf numFmtId="0" fontId="4" fillId="0" borderId="3" xfId="0" applyFont="1" applyBorder="1"/>
    <xf numFmtId="2" fontId="4" fillId="0" borderId="3" xfId="0" applyNumberFormat="1" applyFont="1" applyBorder="1"/>
    <xf numFmtId="10" fontId="2" fillId="0" borderId="0" xfId="1" applyNumberFormat="1" applyFont="1"/>
    <xf numFmtId="175" fontId="2" fillId="0" borderId="0" xfId="0" applyNumberFormat="1" applyFont="1"/>
    <xf numFmtId="0" fontId="9" fillId="3" borderId="0" xfId="0" applyFont="1" applyFill="1"/>
    <xf numFmtId="0" fontId="5" fillId="3" borderId="0" xfId="0" applyFont="1" applyFill="1"/>
    <xf numFmtId="172" fontId="2" fillId="3" borderId="0" xfId="1" applyNumberFormat="1" applyFont="1" applyFill="1"/>
    <xf numFmtId="0" fontId="10" fillId="3" borderId="0" xfId="0" applyFont="1" applyFill="1"/>
    <xf numFmtId="0" fontId="13" fillId="0" borderId="3" xfId="0" applyFont="1" applyBorder="1"/>
    <xf numFmtId="172" fontId="4" fillId="0" borderId="3" xfId="1" applyNumberFormat="1" applyFont="1" applyBorder="1"/>
    <xf numFmtId="176" fontId="14" fillId="2" borderId="0" xfId="0" applyNumberFormat="1" applyFont="1" applyFill="1" applyAlignment="1">
      <alignment horizontal="right"/>
    </xf>
    <xf numFmtId="177" fontId="14" fillId="2" borderId="4" xfId="0" applyNumberFormat="1" applyFont="1" applyFill="1" applyBorder="1" applyAlignment="1">
      <alignment horizontal="right"/>
    </xf>
    <xf numFmtId="177" fontId="14" fillId="2" borderId="0" xfId="0" applyNumberFormat="1" applyFont="1" applyFill="1" applyAlignment="1">
      <alignment horizontal="right"/>
    </xf>
    <xf numFmtId="0" fontId="2" fillId="0" borderId="4" xfId="0" applyFont="1" applyBorder="1"/>
    <xf numFmtId="0" fontId="15" fillId="0" borderId="0" xfId="0" applyFont="1"/>
    <xf numFmtId="175" fontId="4" fillId="0" borderId="4" xfId="0" applyNumberFormat="1" applyFont="1" applyBorder="1"/>
    <xf numFmtId="175" fontId="4" fillId="0" borderId="0" xfId="0" applyNumberFormat="1" applyFont="1"/>
    <xf numFmtId="0" fontId="16" fillId="0" borderId="0" xfId="0" applyFont="1" applyAlignment="1">
      <alignment horizontal="left" indent="1"/>
    </xf>
    <xf numFmtId="175" fontId="4" fillId="0" borderId="5" xfId="0" applyNumberFormat="1" applyFont="1" applyBorder="1"/>
    <xf numFmtId="175" fontId="4" fillId="0" borderId="2" xfId="0" applyNumberFormat="1" applyFont="1" applyBorder="1"/>
    <xf numFmtId="0" fontId="2" fillId="0" borderId="0" xfId="0" applyFont="1" applyAlignment="1">
      <alignment horizontal="left" indent="1"/>
    </xf>
    <xf numFmtId="178" fontId="2" fillId="0" borderId="4" xfId="0" applyNumberFormat="1" applyFont="1" applyBorder="1"/>
    <xf numFmtId="178" fontId="2" fillId="0" borderId="0" xfId="0" applyNumberFormat="1" applyFont="1"/>
    <xf numFmtId="0" fontId="4" fillId="3" borderId="2" xfId="0" applyFont="1" applyFill="1" applyBorder="1"/>
    <xf numFmtId="175" fontId="4" fillId="3" borderId="5" xfId="0" applyNumberFormat="1" applyFont="1" applyFill="1" applyBorder="1"/>
    <xf numFmtId="175" fontId="4" fillId="3" borderId="2" xfId="0" applyNumberFormat="1" applyFont="1" applyFill="1" applyBorder="1"/>
    <xf numFmtId="0" fontId="17" fillId="0" borderId="4" xfId="0" applyFont="1" applyBorder="1"/>
    <xf numFmtId="174" fontId="2" fillId="0" borderId="0" xfId="0" applyNumberFormat="1" applyFont="1"/>
    <xf numFmtId="2" fontId="2" fillId="0" borderId="4" xfId="0" applyNumberFormat="1" applyFont="1" applyBorder="1"/>
    <xf numFmtId="179" fontId="4" fillId="0" borderId="4" xfId="0" applyNumberFormat="1" applyFont="1" applyBorder="1"/>
    <xf numFmtId="2" fontId="4" fillId="0" borderId="0" xfId="0" applyNumberFormat="1" applyFont="1"/>
    <xf numFmtId="0" fontId="4" fillId="0" borderId="5" xfId="0" applyFont="1" applyBorder="1"/>
    <xf numFmtId="2" fontId="4" fillId="0" borderId="2" xfId="0" applyNumberFormat="1" applyFont="1" applyBorder="1"/>
    <xf numFmtId="0" fontId="11" fillId="3" borderId="0" xfId="0" applyFont="1" applyFill="1"/>
    <xf numFmtId="2" fontId="2" fillId="3" borderId="0" xfId="0" applyNumberFormat="1" applyFont="1" applyFill="1"/>
    <xf numFmtId="2" fontId="4" fillId="3" borderId="2" xfId="0" applyNumberFormat="1" applyFont="1" applyFill="1" applyBorder="1"/>
    <xf numFmtId="173" fontId="4" fillId="0" borderId="2" xfId="0" applyNumberFormat="1" applyFont="1" applyBorder="1"/>
    <xf numFmtId="168" fontId="4" fillId="3" borderId="2" xfId="0" applyNumberFormat="1" applyFont="1" applyFill="1" applyBorder="1"/>
    <xf numFmtId="173" fontId="4" fillId="3" borderId="2" xfId="0" applyNumberFormat="1" applyFont="1" applyFill="1" applyBorder="1"/>
    <xf numFmtId="9" fontId="2" fillId="0" borderId="0" xfId="0" applyNumberFormat="1" applyFont="1"/>
    <xf numFmtId="0" fontId="18" fillId="2" borderId="0" xfId="0" applyFont="1" applyFill="1"/>
    <xf numFmtId="0" fontId="19" fillId="0" borderId="0" xfId="0" applyFont="1"/>
    <xf numFmtId="0" fontId="15" fillId="2" borderId="0" xfId="0" applyFont="1" applyFill="1" applyAlignment="1">
      <alignment horizontal="center" vertical="center"/>
    </xf>
    <xf numFmtId="174" fontId="7" fillId="0" borderId="0" xfId="0" applyNumberFormat="1" applyFont="1"/>
    <xf numFmtId="180" fontId="7" fillId="0" borderId="0" xfId="0" applyNumberFormat="1" applyFont="1"/>
    <xf numFmtId="0" fontId="4" fillId="0" borderId="1" xfId="0" applyFont="1" applyBorder="1" applyAlignment="1">
      <alignment horizontal="left" indent="1"/>
    </xf>
    <xf numFmtId="174" fontId="13" fillId="0" borderId="1" xfId="0" applyNumberFormat="1" applyFont="1" applyBorder="1"/>
    <xf numFmtId="180" fontId="2" fillId="0" borderId="0" xfId="0" applyNumberFormat="1" applyFont="1"/>
    <xf numFmtId="0" fontId="20" fillId="0" borderId="0" xfId="0" applyFont="1"/>
    <xf numFmtId="0" fontId="4" fillId="0" borderId="0" xfId="0" applyFont="1" applyAlignment="1">
      <alignment horizontal="left" indent="1"/>
    </xf>
    <xf numFmtId="180" fontId="4" fillId="0" borderId="0" xfId="0" applyNumberFormat="1" applyFont="1"/>
    <xf numFmtId="0" fontId="7" fillId="0" borderId="0" xfId="0" applyFont="1"/>
    <xf numFmtId="0" fontId="21" fillId="0" borderId="0" xfId="0" applyFont="1" applyAlignment="1">
      <alignment horizontal="right"/>
    </xf>
    <xf numFmtId="172" fontId="2" fillId="0" borderId="0" xfId="0" applyNumberFormat="1" applyFont="1"/>
    <xf numFmtId="175" fontId="7" fillId="0" borderId="0" xfId="0" applyNumberFormat="1" applyFont="1"/>
    <xf numFmtId="0" fontId="4" fillId="0" borderId="6" xfId="0" applyFont="1" applyBorder="1"/>
    <xf numFmtId="0" fontId="4" fillId="0" borderId="7" xfId="0" applyFont="1" applyBorder="1" applyAlignment="1">
      <alignment horizontal="right"/>
    </xf>
    <xf numFmtId="0" fontId="20" fillId="0" borderId="0" xfId="0" applyFont="1" applyAlignment="1">
      <alignment horizontal="left" indent="1"/>
    </xf>
    <xf numFmtId="0" fontId="8" fillId="0" borderId="0" xfId="0" applyFont="1" applyAlignment="1">
      <alignment horizontal="right"/>
    </xf>
    <xf numFmtId="0" fontId="1" fillId="2" borderId="3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171" fontId="7" fillId="0" borderId="0" xfId="0" applyNumberFormat="1" applyFont="1"/>
    <xf numFmtId="39" fontId="2" fillId="0" borderId="0" xfId="0" applyNumberFormat="1" applyFont="1"/>
    <xf numFmtId="9" fontId="7" fillId="0" borderId="0" xfId="1" applyFont="1"/>
    <xf numFmtId="178" fontId="7" fillId="0" borderId="0" xfId="0" applyNumberFormat="1" applyFont="1"/>
    <xf numFmtId="3" fontId="2" fillId="0" borderId="0" xfId="0" applyNumberFormat="1" applyFont="1"/>
    <xf numFmtId="0" fontId="11" fillId="0" borderId="0" xfId="0" applyFont="1" applyAlignment="1">
      <alignment horizontal="left"/>
    </xf>
    <xf numFmtId="3" fontId="4" fillId="0" borderId="0" xfId="0" applyNumberFormat="1" applyFont="1"/>
    <xf numFmtId="172" fontId="4" fillId="0" borderId="0" xfId="0" applyNumberFormat="1" applyFont="1"/>
    <xf numFmtId="171" fontId="2" fillId="0" borderId="0" xfId="0" applyNumberFormat="1" applyFont="1"/>
    <xf numFmtId="178" fontId="2" fillId="0" borderId="0" xfId="1" applyNumberFormat="1" applyFont="1"/>
    <xf numFmtId="3" fontId="7" fillId="0" borderId="0" xfId="0" applyNumberFormat="1" applyFont="1"/>
    <xf numFmtId="178" fontId="7" fillId="0" borderId="0" xfId="1" applyNumberFormat="1" applyFont="1"/>
    <xf numFmtId="0" fontId="8" fillId="0" borderId="3" xfId="0" applyFont="1" applyBorder="1"/>
    <xf numFmtId="3" fontId="8" fillId="0" borderId="3" xfId="0" applyNumberFormat="1" applyFont="1" applyBorder="1"/>
    <xf numFmtId="172" fontId="8" fillId="0" borderId="3" xfId="0" applyNumberFormat="1" applyFont="1" applyBorder="1"/>
    <xf numFmtId="178" fontId="8" fillId="0" borderId="3" xfId="0" applyNumberFormat="1" applyFont="1" applyBorder="1"/>
    <xf numFmtId="171" fontId="8" fillId="0" borderId="3" xfId="0" applyNumberFormat="1" applyFont="1" applyBorder="1"/>
    <xf numFmtId="172" fontId="8" fillId="0" borderId="3" xfId="1" applyNumberFormat="1" applyFont="1" applyBorder="1"/>
    <xf numFmtId="0" fontId="1" fillId="2" borderId="1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Continuous"/>
    </xf>
    <xf numFmtId="0" fontId="22" fillId="2" borderId="0" xfId="0" applyFont="1" applyFill="1"/>
    <xf numFmtId="0" fontId="14" fillId="0" borderId="3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right" wrapText="1"/>
    </xf>
    <xf numFmtId="0" fontId="16" fillId="0" borderId="3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181" fontId="2" fillId="0" borderId="0" xfId="0" applyNumberFormat="1" applyFont="1"/>
    <xf numFmtId="0" fontId="14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/>
    </xf>
    <xf numFmtId="0" fontId="16" fillId="0" borderId="9" xfId="0" applyFont="1" applyBorder="1" applyAlignment="1">
      <alignment horizontal="right"/>
    </xf>
    <xf numFmtId="43" fontId="2" fillId="0" borderId="0" xfId="0" applyNumberFormat="1" applyFont="1"/>
    <xf numFmtId="3" fontId="7" fillId="0" borderId="9" xfId="1" applyNumberFormat="1" applyFont="1" applyBorder="1"/>
    <xf numFmtId="3" fontId="2" fillId="0" borderId="9" xfId="0" applyNumberFormat="1" applyFont="1" applyBorder="1"/>
    <xf numFmtId="10" fontId="2" fillId="0" borderId="0" xfId="0" applyNumberFormat="1" applyFont="1"/>
    <xf numFmtId="0" fontId="2" fillId="0" borderId="9" xfId="0" applyFont="1" applyBorder="1"/>
    <xf numFmtId="39" fontId="8" fillId="0" borderId="3" xfId="0" applyNumberFormat="1" applyFont="1" applyBorder="1"/>
    <xf numFmtId="10" fontId="8" fillId="0" borderId="3" xfId="0" applyNumberFormat="1" applyFont="1" applyBorder="1"/>
    <xf numFmtId="3" fontId="8" fillId="0" borderId="8" xfId="0" applyNumberFormat="1" applyFont="1" applyBorder="1"/>
    <xf numFmtId="0" fontId="24" fillId="2" borderId="0" xfId="0" applyFont="1" applyFill="1"/>
    <xf numFmtId="0" fontId="11" fillId="0" borderId="0" xfId="0" applyFont="1" applyAlignment="1">
      <alignment horizontal="left" indent="1"/>
    </xf>
    <xf numFmtId="171" fontId="2" fillId="0" borderId="0" xfId="0" applyNumberFormat="1" applyFont="1" applyAlignment="1">
      <alignment horizontal="left" indent="1"/>
    </xf>
    <xf numFmtId="10" fontId="2" fillId="0" borderId="0" xfId="1" applyNumberFormat="1" applyFont="1" applyAlignment="1">
      <alignment horizontal="left"/>
    </xf>
    <xf numFmtId="178" fontId="4" fillId="0" borderId="3" xfId="0" applyNumberFormat="1" applyFont="1" applyBorder="1"/>
    <xf numFmtId="171" fontId="4" fillId="0" borderId="0" xfId="0" applyNumberFormat="1" applyFont="1"/>
    <xf numFmtId="171" fontId="4" fillId="0" borderId="3" xfId="0" applyNumberFormat="1" applyFont="1" applyBorder="1"/>
    <xf numFmtId="0" fontId="25" fillId="0" borderId="0" xfId="0" applyFont="1"/>
    <xf numFmtId="0" fontId="4" fillId="0" borderId="0" xfId="0" applyFont="1" applyAlignment="1">
      <alignment horizontal="right"/>
    </xf>
    <xf numFmtId="0" fontId="1" fillId="2" borderId="1" xfId="0" applyFont="1" applyFill="1" applyBorder="1"/>
    <xf numFmtId="176" fontId="14" fillId="2" borderId="10" xfId="0" applyNumberFormat="1" applyFont="1" applyFill="1" applyBorder="1" applyAlignment="1">
      <alignment horizontal="right"/>
    </xf>
    <xf numFmtId="182" fontId="1" fillId="0" borderId="0" xfId="0" applyNumberFormat="1" applyFont="1"/>
    <xf numFmtId="0" fontId="2" fillId="0" borderId="10" xfId="0" applyFont="1" applyBorder="1"/>
    <xf numFmtId="178" fontId="26" fillId="0" borderId="0" xfId="0" applyNumberFormat="1" applyFont="1"/>
    <xf numFmtId="178" fontId="4" fillId="0" borderId="10" xfId="0" applyNumberFormat="1" applyFont="1" applyBorder="1"/>
    <xf numFmtId="178" fontId="13" fillId="0" borderId="0" xfId="0" applyNumberFormat="1" applyFont="1"/>
    <xf numFmtId="0" fontId="27" fillId="0" borderId="0" xfId="0" applyFont="1"/>
    <xf numFmtId="0" fontId="19" fillId="0" borderId="0" xfId="0" applyFont="1" applyAlignment="1">
      <alignment horizontal="left" indent="1"/>
    </xf>
    <xf numFmtId="9" fontId="19" fillId="0" borderId="0" xfId="1" applyFont="1"/>
    <xf numFmtId="9" fontId="19" fillId="0" borderId="10" xfId="1" applyFont="1" applyBorder="1"/>
    <xf numFmtId="0" fontId="28" fillId="0" borderId="0" xfId="0" applyFont="1"/>
    <xf numFmtId="178" fontId="4" fillId="0" borderId="2" xfId="0" applyNumberFormat="1" applyFont="1" applyBorder="1"/>
    <xf numFmtId="172" fontId="19" fillId="0" borderId="0" xfId="1" applyNumberFormat="1" applyFont="1"/>
    <xf numFmtId="172" fontId="19" fillId="0" borderId="11" xfId="1" applyNumberFormat="1" applyFont="1" applyBorder="1"/>
    <xf numFmtId="178" fontId="2" fillId="0" borderId="10" xfId="0" applyNumberFormat="1" applyFont="1" applyBorder="1"/>
    <xf numFmtId="178" fontId="4" fillId="0" borderId="12" xfId="0" applyNumberFormat="1" applyFont="1" applyBorder="1"/>
    <xf numFmtId="178" fontId="4" fillId="0" borderId="0" xfId="0" applyNumberFormat="1" applyFont="1"/>
    <xf numFmtId="176" fontId="14" fillId="2" borderId="4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indent="1"/>
    </xf>
    <xf numFmtId="178" fontId="2" fillId="0" borderId="1" xfId="0" applyNumberFormat="1" applyFont="1" applyBorder="1"/>
    <xf numFmtId="178" fontId="2" fillId="0" borderId="13" xfId="0" applyNumberFormat="1" applyFont="1" applyBorder="1"/>
    <xf numFmtId="39" fontId="2" fillId="0" borderId="1" xfId="0" applyNumberFormat="1" applyFont="1" applyBorder="1"/>
    <xf numFmtId="0" fontId="4" fillId="0" borderId="2" xfId="0" applyFont="1" applyBorder="1" applyAlignment="1">
      <alignment horizontal="left" indent="1"/>
    </xf>
    <xf numFmtId="178" fontId="4" fillId="0" borderId="5" xfId="0" applyNumberFormat="1" applyFont="1" applyBorder="1"/>
    <xf numFmtId="39" fontId="4" fillId="0" borderId="2" xfId="0" applyNumberFormat="1" applyFont="1" applyBorder="1"/>
    <xf numFmtId="171" fontId="7" fillId="0" borderId="4" xfId="0" applyNumberFormat="1" applyFont="1" applyBorder="1"/>
    <xf numFmtId="178" fontId="5" fillId="0" borderId="0" xfId="0" applyNumberFormat="1" applyFont="1"/>
    <xf numFmtId="176" fontId="14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/>
    </xf>
    <xf numFmtId="0" fontId="4" fillId="3" borderId="0" xfId="0" applyFont="1" applyFill="1"/>
    <xf numFmtId="0" fontId="4" fillId="3" borderId="4" xfId="0" applyFont="1" applyFill="1" applyBorder="1"/>
    <xf numFmtId="166" fontId="4" fillId="3" borderId="0" xfId="0" applyNumberFormat="1" applyFont="1" applyFill="1"/>
    <xf numFmtId="166" fontId="2" fillId="0" borderId="0" xfId="0" applyNumberFormat="1" applyFont="1"/>
    <xf numFmtId="0" fontId="4" fillId="0" borderId="4" xfId="0" applyFont="1" applyBorder="1"/>
    <xf numFmtId="166" fontId="4" fillId="0" borderId="2" xfId="0" applyNumberFormat="1" applyFont="1" applyBorder="1"/>
    <xf numFmtId="0" fontId="2" fillId="0" borderId="13" xfId="0" applyFont="1" applyBorder="1"/>
    <xf numFmtId="0" fontId="2" fillId="0" borderId="5" xfId="0" applyFont="1" applyBorder="1"/>
    <xf numFmtId="166" fontId="4" fillId="0" borderId="1" xfId="0" applyNumberFormat="1" applyFont="1" applyBorder="1"/>
    <xf numFmtId="0" fontId="4" fillId="4" borderId="1" xfId="0" applyFont="1" applyFill="1" applyBorder="1"/>
    <xf numFmtId="0" fontId="4" fillId="4" borderId="13" xfId="0" applyFont="1" applyFill="1" applyBorder="1"/>
    <xf numFmtId="172" fontId="4" fillId="4" borderId="1" xfId="1" applyNumberFormat="1" applyFont="1" applyFill="1" applyBorder="1"/>
    <xf numFmtId="0" fontId="4" fillId="4" borderId="2" xfId="0" applyFont="1" applyFill="1" applyBorder="1"/>
    <xf numFmtId="0" fontId="4" fillId="4" borderId="5" xfId="0" applyFont="1" applyFill="1" applyBorder="1"/>
    <xf numFmtId="168" fontId="4" fillId="4" borderId="2" xfId="1" applyNumberFormat="1" applyFont="1" applyFill="1" applyBorder="1"/>
    <xf numFmtId="0" fontId="8" fillId="0" borderId="13" xfId="0" applyFont="1" applyBorder="1"/>
    <xf numFmtId="172" fontId="8" fillId="0" borderId="0" xfId="1" applyNumberFormat="1" applyFont="1"/>
    <xf numFmtId="0" fontId="8" fillId="0" borderId="4" xfId="0" applyFont="1" applyBorder="1"/>
    <xf numFmtId="166" fontId="2" fillId="0" borderId="1" xfId="0" applyNumberFormat="1" applyFont="1" applyBorder="1"/>
    <xf numFmtId="0" fontId="4" fillId="0" borderId="13" xfId="0" applyFont="1" applyBorder="1"/>
    <xf numFmtId="166" fontId="7" fillId="0" borderId="0" xfId="0" applyNumberFormat="1" applyFont="1"/>
    <xf numFmtId="175" fontId="2" fillId="0" borderId="1" xfId="0" applyNumberFormat="1" applyFont="1" applyBorder="1"/>
    <xf numFmtId="175" fontId="4" fillId="0" borderId="1" xfId="0" applyNumberFormat="1" applyFont="1" applyBorder="1"/>
    <xf numFmtId="182" fontId="1" fillId="2" borderId="3" xfId="0" applyNumberFormat="1" applyFont="1" applyFill="1" applyBorder="1"/>
    <xf numFmtId="175" fontId="2" fillId="0" borderId="4" xfId="0" applyNumberFormat="1" applyFont="1" applyBorder="1"/>
    <xf numFmtId="0" fontId="29" fillId="2" borderId="0" xfId="0" applyFont="1" applyFill="1"/>
    <xf numFmtId="168" fontId="4" fillId="0" borderId="3" xfId="0" applyNumberFormat="1" applyFont="1" applyBorder="1"/>
    <xf numFmtId="0" fontId="16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2" fontId="0" fillId="0" borderId="0" xfId="0" applyNumberFormat="1"/>
    <xf numFmtId="0" fontId="30" fillId="5" borderId="2" xfId="0" applyFont="1" applyFill="1" applyBorder="1"/>
    <xf numFmtId="183" fontId="31" fillId="5" borderId="2" xfId="0" applyNumberFormat="1" applyFont="1" applyFill="1" applyBorder="1" applyAlignment="1">
      <alignment horizontal="right"/>
    </xf>
    <xf numFmtId="176" fontId="31" fillId="5" borderId="2" xfId="0" applyNumberFormat="1" applyFont="1" applyFill="1" applyBorder="1" applyAlignment="1">
      <alignment horizontal="right"/>
    </xf>
    <xf numFmtId="177" fontId="31" fillId="5" borderId="2" xfId="0" applyNumberFormat="1" applyFont="1" applyFill="1" applyBorder="1" applyAlignment="1">
      <alignment horizontal="right"/>
    </xf>
    <xf numFmtId="174" fontId="33" fillId="0" borderId="0" xfId="0" applyNumberFormat="1" applyFont="1"/>
    <xf numFmtId="0" fontId="30" fillId="5" borderId="2" xfId="0" applyFont="1" applyFill="1" applyBorder="1" applyAlignment="1">
      <alignment horizontal="right"/>
    </xf>
    <xf numFmtId="0" fontId="31" fillId="0" borderId="0" xfId="0" applyFont="1" applyAlignment="1">
      <alignment horizontal="right"/>
    </xf>
    <xf numFmtId="172" fontId="33" fillId="0" borderId="0" xfId="0" applyNumberFormat="1" applyFont="1"/>
    <xf numFmtId="3" fontId="32" fillId="0" borderId="0" xfId="0" applyNumberFormat="1" applyFont="1"/>
    <xf numFmtId="184" fontId="33" fillId="0" borderId="0" xfId="0" applyNumberFormat="1" applyFont="1"/>
    <xf numFmtId="3" fontId="30" fillId="0" borderId="1" xfId="0" applyNumberFormat="1" applyFont="1" applyBorder="1"/>
    <xf numFmtId="172" fontId="0" fillId="0" borderId="0" xfId="0" applyNumberFormat="1"/>
    <xf numFmtId="3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081A00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36-4967-A180-409527DF785C}"/>
                </c:ext>
              </c:extLst>
            </c:dLbl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'Valuation Summary'!$C$5:$C$8</c:f>
              <c:numCache>
                <c:formatCode>0.0\x</c:formatCode>
                <c:ptCount val="4"/>
                <c:pt idx="0">
                  <c:v>8.2179930795847795</c:v>
                </c:pt>
                <c:pt idx="1">
                  <c:v>8.2179930795847795</c:v>
                </c:pt>
                <c:pt idx="2">
                  <c:v>8.3699999999999992</c:v>
                </c:pt>
                <c:pt idx="3">
                  <c:v>10.83</c:v>
                </c:pt>
              </c:numCache>
            </c:numRef>
          </c:xVal>
          <c:yVal>
            <c:numRef>
              <c:f>'Valuation Summary'!$C$5:$C$8</c:f>
              <c:numCache>
                <c:formatCode>0.0\x</c:formatCode>
                <c:ptCount val="4"/>
                <c:pt idx="0">
                  <c:v>8.2179930795847795</c:v>
                </c:pt>
                <c:pt idx="1">
                  <c:v>8.2179930795847795</c:v>
                </c:pt>
                <c:pt idx="2">
                  <c:v>8.3699999999999992</c:v>
                </c:pt>
                <c:pt idx="3">
                  <c:v>10.83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6-4967-A180-409527DF7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041840"/>
        <c:axId val="1100034640"/>
      </c:scatterChart>
      <c:valAx>
        <c:axId val="1100041840"/>
        <c:scaling>
          <c:orientation val="minMax"/>
          <c:max val="11"/>
          <c:min val="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EV/ EBITDA Multiple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\x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34640"/>
        <c:crosses val="autoZero"/>
        <c:crossBetween val="midCat"/>
        <c:majorUnit val="1"/>
      </c:valAx>
      <c:valAx>
        <c:axId val="1100034640"/>
        <c:scaling>
          <c:orientation val="minMax"/>
          <c:min val="6"/>
        </c:scaling>
        <c:delete val="1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numFmt formatCode="0.0\x" sourceLinked="1"/>
        <c:majorTickMark val="none"/>
        <c:minorTickMark val="none"/>
        <c:tickLblPos val="nextTo"/>
        <c:crossAx val="1100041840"/>
        <c:crosses val="autoZero"/>
        <c:crossBetween val="midCat"/>
        <c:majorUnit val="2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eb4ae7-6f60-43c0-91d3-b100944d2b44}"/>
      </c:ext>
    </c:extLst>
  </c:chart>
  <c:spPr>
    <a:solidFill>
      <a:schemeClr val="bg1"/>
    </a:solidFill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104776</xdr:rowOff>
    </xdr:from>
    <xdr:to>
      <xdr:col>9</xdr:col>
      <xdr:colOff>19050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workbookViewId="0">
      <selection activeCell="D25" sqref="D25"/>
    </sheetView>
  </sheetViews>
  <sheetFormatPr defaultColWidth="9" defaultRowHeight="14.4"/>
  <cols>
    <col min="1" max="1" width="2" customWidth="1"/>
    <col min="2" max="2" width="41" customWidth="1"/>
    <col min="3" max="3" width="13.44140625" customWidth="1"/>
  </cols>
  <sheetData>
    <row r="1" spans="2:8" ht="3.6" customHeight="1"/>
    <row r="2" spans="2:8">
      <c r="B2" s="216"/>
    </row>
    <row r="3" spans="2:8">
      <c r="B3" s="216"/>
    </row>
    <row r="4" spans="2:8">
      <c r="B4" s="217"/>
    </row>
    <row r="5" spans="2:8">
      <c r="B5" t="s">
        <v>0</v>
      </c>
      <c r="C5" s="218" t="s">
        <v>1</v>
      </c>
    </row>
    <row r="6" spans="2:8" ht="14.25" customHeight="1">
      <c r="B6" t="s">
        <v>2</v>
      </c>
      <c r="C6" s="219" t="s">
        <v>3</v>
      </c>
      <c r="E6" s="220"/>
    </row>
    <row r="7" spans="2:8" ht="14.25" customHeight="1">
      <c r="C7" s="219"/>
    </row>
    <row r="9" spans="2:8">
      <c r="B9" s="221" t="s">
        <v>4</v>
      </c>
      <c r="C9" s="222">
        <v>45657</v>
      </c>
      <c r="D9" s="223">
        <v>46022</v>
      </c>
      <c r="E9" s="224">
        <v>46387</v>
      </c>
      <c r="F9" s="224">
        <v>46752</v>
      </c>
      <c r="G9" s="224">
        <v>47118</v>
      </c>
      <c r="H9" s="224">
        <v>47483</v>
      </c>
    </row>
    <row r="10" spans="2:8">
      <c r="B10" t="s">
        <v>5</v>
      </c>
      <c r="C10" s="225">
        <v>9.99</v>
      </c>
      <c r="D10" s="225">
        <v>15.7</v>
      </c>
      <c r="E10" s="225">
        <v>19</v>
      </c>
      <c r="F10" s="225">
        <v>22.7</v>
      </c>
      <c r="G10" s="225">
        <v>27.3</v>
      </c>
      <c r="H10" s="225">
        <v>32.700000000000003</v>
      </c>
    </row>
    <row r="11" spans="2:8">
      <c r="B11" t="s">
        <v>6</v>
      </c>
      <c r="C11" s="225">
        <v>1.034</v>
      </c>
      <c r="D11" s="225">
        <v>2.3119999999999998</v>
      </c>
      <c r="E11" s="225">
        <v>2.3769999999999998</v>
      </c>
      <c r="F11" s="225">
        <v>2.9609999999999999</v>
      </c>
      <c r="G11" s="225">
        <v>3.762</v>
      </c>
      <c r="H11" s="225">
        <v>4.7430000000000003</v>
      </c>
    </row>
    <row r="14" spans="2:8">
      <c r="B14" s="221" t="s">
        <v>7</v>
      </c>
      <c r="C14" s="226"/>
      <c r="F14" s="221" t="s">
        <v>8</v>
      </c>
      <c r="G14" s="226"/>
      <c r="H14" s="221"/>
    </row>
    <row r="15" spans="2:8">
      <c r="C15" s="227"/>
      <c r="F15" t="s">
        <v>9</v>
      </c>
      <c r="H15" s="228">
        <v>0.2</v>
      </c>
    </row>
    <row r="16" spans="2:8">
      <c r="B16" t="s">
        <v>10</v>
      </c>
      <c r="C16" s="229">
        <v>521805.28100000002</v>
      </c>
      <c r="D16" s="228">
        <v>0.33100000000000002</v>
      </c>
      <c r="F16" t="s">
        <v>11</v>
      </c>
      <c r="H16" s="228">
        <v>0.01</v>
      </c>
    </row>
    <row r="17" spans="2:8">
      <c r="B17" t="s">
        <v>12</v>
      </c>
      <c r="C17" s="229">
        <v>553334.30099999998</v>
      </c>
      <c r="D17" s="228">
        <v>0.35099999999999998</v>
      </c>
      <c r="F17" t="s">
        <v>13</v>
      </c>
      <c r="H17" s="228">
        <v>0.1</v>
      </c>
    </row>
    <row r="18" spans="2:8">
      <c r="B18" t="s">
        <v>14</v>
      </c>
      <c r="C18" s="229">
        <v>102469.315</v>
      </c>
      <c r="D18" s="228">
        <v>6.5000000000000002E-2</v>
      </c>
      <c r="F18" t="s">
        <v>15</v>
      </c>
      <c r="H18" s="228">
        <v>0.05</v>
      </c>
    </row>
    <row r="19" spans="2:8">
      <c r="B19" t="s">
        <v>16</v>
      </c>
      <c r="C19" s="229">
        <v>95000.024736483305</v>
      </c>
      <c r="D19" s="228">
        <v>6.02619584982238E-2</v>
      </c>
      <c r="F19" t="s">
        <v>17</v>
      </c>
      <c r="H19" s="228">
        <v>1.4999999999999999E-2</v>
      </c>
    </row>
    <row r="20" spans="2:8">
      <c r="B20" t="s">
        <v>18</v>
      </c>
      <c r="C20" s="229">
        <v>0</v>
      </c>
      <c r="D20" s="228">
        <v>0</v>
      </c>
      <c r="F20" t="s">
        <v>19</v>
      </c>
      <c r="H20" s="230">
        <v>2.2999999999999998</v>
      </c>
    </row>
    <row r="21" spans="2:8">
      <c r="B21" t="s">
        <v>20</v>
      </c>
      <c r="C21" s="229">
        <v>165000.04269715</v>
      </c>
      <c r="D21" s="228">
        <v>0.104665506696466</v>
      </c>
    </row>
    <row r="22" spans="2:8">
      <c r="B22" t="s">
        <v>21</v>
      </c>
      <c r="C22" s="229">
        <v>97999.025316252097</v>
      </c>
      <c r="D22" s="228">
        <v>6.2164333249972302E-2</v>
      </c>
    </row>
    <row r="23" spans="2:8">
      <c r="B23" t="s">
        <v>22</v>
      </c>
      <c r="C23" s="229">
        <v>40843.010535652102</v>
      </c>
      <c r="D23" s="228">
        <v>2.5908201736465099E-2</v>
      </c>
    </row>
    <row r="24" spans="2:8">
      <c r="C24" s="231">
        <v>1576451</v>
      </c>
      <c r="D24" s="232">
        <v>1.00000000018113</v>
      </c>
    </row>
    <row r="27" spans="2:8">
      <c r="C27" s="233"/>
    </row>
    <row r="30" spans="2:8">
      <c r="D30" s="23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activeCell="G21" sqref="G21"/>
    </sheetView>
  </sheetViews>
  <sheetFormatPr defaultColWidth="9.109375" defaultRowHeight="10.8"/>
  <cols>
    <col min="1" max="1" width="1.77734375" style="4" customWidth="1"/>
    <col min="2" max="2" width="22.33203125" style="4" customWidth="1"/>
    <col min="3" max="3" width="9.109375" style="4" customWidth="1"/>
    <col min="4" max="16384" width="9.109375" style="4"/>
  </cols>
  <sheetData>
    <row r="1" spans="1:5" s="1" customFormat="1" ht="15" customHeight="1">
      <c r="A1" s="213" t="s">
        <v>23</v>
      </c>
    </row>
    <row r="5" spans="1:5" ht="14.4">
      <c r="B5" s="4" t="s">
        <v>24</v>
      </c>
      <c r="C5" s="10">
        <f>LBO!H8</f>
        <v>8.2179930795847795</v>
      </c>
      <c r="D5" t="s">
        <v>25</v>
      </c>
    </row>
    <row r="6" spans="1:5" ht="14.4">
      <c r="B6" s="4" t="s">
        <v>26</v>
      </c>
      <c r="C6" s="10">
        <f>DCF!C6</f>
        <v>8.2179930795847795</v>
      </c>
      <c r="D6">
        <f>DCF!G58</f>
        <v>6.4557874553388697</v>
      </c>
      <c r="E6" t="s">
        <v>27</v>
      </c>
    </row>
    <row r="7" spans="1:5">
      <c r="B7" s="4" t="s">
        <v>28</v>
      </c>
      <c r="C7" s="10">
        <f>'Public Comps'!L27</f>
        <v>8.3699999999999992</v>
      </c>
    </row>
    <row r="8" spans="1:5">
      <c r="B8" s="4" t="s">
        <v>29</v>
      </c>
      <c r="C8" s="10">
        <f>'Precedent Transactions'!J23</f>
        <v>10.83</v>
      </c>
    </row>
    <row r="10" spans="1:5">
      <c r="B10" s="48" t="s">
        <v>30</v>
      </c>
      <c r="C10" s="214">
        <f>MEDIAN(C5:C8)</f>
        <v>8.2939965397923903</v>
      </c>
    </row>
    <row r="14" spans="1:5">
      <c r="B14" s="215" t="s">
        <v>31</v>
      </c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S220"/>
  <sheetViews>
    <sheetView showGridLines="0" tabSelected="1" zoomScale="120" zoomScaleNormal="120" workbookViewId="0">
      <selection activeCell="M157" sqref="M157"/>
    </sheetView>
  </sheetViews>
  <sheetFormatPr defaultColWidth="9.109375" defaultRowHeight="10.8" outlineLevelRow="1"/>
  <cols>
    <col min="1" max="1" width="1.77734375" style="34" customWidth="1"/>
    <col min="2" max="2" width="25" style="4" customWidth="1"/>
    <col min="3" max="3" width="12.33203125" style="4" customWidth="1"/>
    <col min="4" max="4" width="12.109375" style="4" customWidth="1"/>
    <col min="5" max="5" width="14.109375" style="4" customWidth="1"/>
    <col min="6" max="6" width="10.33203125" style="4" customWidth="1"/>
    <col min="7" max="7" width="10.6640625" style="4" customWidth="1"/>
    <col min="8" max="8" width="15.6640625" style="4" customWidth="1"/>
    <col min="9" max="9" width="10.21875" style="4" customWidth="1"/>
    <col min="10" max="10" width="10" style="4" customWidth="1"/>
    <col min="11" max="11" width="9.88671875" style="4" customWidth="1"/>
    <col min="12" max="12" width="11" style="4" customWidth="1"/>
    <col min="13" max="13" width="10.6640625" style="4" customWidth="1"/>
    <col min="14" max="14" width="14.88671875" style="4" customWidth="1"/>
    <col min="15" max="15" width="9.109375" style="4" customWidth="1"/>
    <col min="16" max="16384" width="9.109375" style="4"/>
  </cols>
  <sheetData>
    <row r="1" spans="1:13" s="88" customFormat="1" ht="15" customHeight="1">
      <c r="B1" s="5" t="s">
        <v>32</v>
      </c>
    </row>
    <row r="2" spans="1:13" ht="3.9" customHeight="1"/>
    <row r="3" spans="1:13" s="32" customFormat="1">
      <c r="A3" s="90" t="s">
        <v>33</v>
      </c>
      <c r="B3" s="1" t="s">
        <v>34</v>
      </c>
    </row>
    <row r="4" spans="1:13" outlineLevel="1"/>
    <row r="5" spans="1:13" outlineLevel="1">
      <c r="B5" s="44" t="s">
        <v>35</v>
      </c>
      <c r="F5" s="44" t="s">
        <v>36</v>
      </c>
      <c r="J5" s="44" t="s">
        <v>37</v>
      </c>
    </row>
    <row r="6" spans="1:13" outlineLevel="1">
      <c r="B6" s="68" t="s">
        <v>0</v>
      </c>
      <c r="C6" s="19" t="s">
        <v>1</v>
      </c>
      <c r="F6" s="68" t="s">
        <v>38</v>
      </c>
      <c r="H6" s="91">
        <v>2.3119999999999998</v>
      </c>
      <c r="J6" s="68" t="s">
        <v>39</v>
      </c>
      <c r="M6" s="37">
        <v>46022</v>
      </c>
    </row>
    <row r="7" spans="1:13" outlineLevel="1">
      <c r="B7" s="68" t="s">
        <v>2</v>
      </c>
      <c r="C7" s="20" t="s">
        <v>3</v>
      </c>
      <c r="F7" s="68" t="s">
        <v>40</v>
      </c>
      <c r="H7" s="92">
        <v>19</v>
      </c>
      <c r="J7" s="68" t="s">
        <v>41</v>
      </c>
      <c r="M7" s="37">
        <v>45930</v>
      </c>
    </row>
    <row r="8" spans="1:13" outlineLevel="1">
      <c r="F8" s="68" t="s">
        <v>42</v>
      </c>
      <c r="H8" s="10">
        <f>H7/H6</f>
        <v>8.2179930795847795</v>
      </c>
      <c r="J8" s="93" t="s">
        <v>43</v>
      </c>
      <c r="K8" s="11"/>
      <c r="L8" s="11"/>
      <c r="M8" s="94">
        <f>(M6-M7)/365</f>
        <v>0.25205479452054802</v>
      </c>
    </row>
    <row r="9" spans="1:13" outlineLevel="1">
      <c r="B9" s="44" t="s">
        <v>44</v>
      </c>
      <c r="F9" s="68" t="s">
        <v>45</v>
      </c>
      <c r="H9" s="95">
        <f>H7</f>
        <v>19</v>
      </c>
    </row>
    <row r="10" spans="1:13" outlineLevel="1">
      <c r="B10" s="68" t="s">
        <v>9</v>
      </c>
      <c r="D10" s="36">
        <v>0.2</v>
      </c>
      <c r="F10" s="68" t="s">
        <v>46</v>
      </c>
      <c r="H10" s="95">
        <v>2.2999999999999998</v>
      </c>
      <c r="I10" s="96"/>
    </row>
    <row r="11" spans="1:13" outlineLevel="1">
      <c r="B11" s="68" t="s">
        <v>11</v>
      </c>
      <c r="D11" s="36">
        <v>0.01</v>
      </c>
      <c r="F11" s="68" t="s">
        <v>47</v>
      </c>
      <c r="H11" s="92">
        <v>0</v>
      </c>
      <c r="I11" s="96" t="s">
        <v>48</v>
      </c>
    </row>
    <row r="12" spans="1:13" outlineLevel="1">
      <c r="B12" s="68" t="s">
        <v>13</v>
      </c>
      <c r="D12" s="36">
        <v>0.1</v>
      </c>
      <c r="F12" s="97" t="s">
        <v>49</v>
      </c>
      <c r="G12" s="13"/>
      <c r="H12" s="98">
        <f>H7+H10</f>
        <v>21.3</v>
      </c>
      <c r="I12" s="96"/>
    </row>
    <row r="13" spans="1:13" outlineLevel="1">
      <c r="B13" s="68" t="s">
        <v>15</v>
      </c>
      <c r="D13" s="36">
        <v>0.05</v>
      </c>
    </row>
    <row r="14" spans="1:13" outlineLevel="1">
      <c r="B14" s="68" t="s">
        <v>50</v>
      </c>
      <c r="D14" s="99">
        <v>2.2999999999999998</v>
      </c>
      <c r="F14" s="44" t="s">
        <v>51</v>
      </c>
      <c r="H14" s="100" t="s">
        <v>52</v>
      </c>
      <c r="I14" s="100" t="s">
        <v>53</v>
      </c>
      <c r="J14" s="100" t="s">
        <v>54</v>
      </c>
    </row>
    <row r="15" spans="1:13" outlineLevel="1">
      <c r="B15" s="68" t="s">
        <v>55</v>
      </c>
      <c r="D15" s="36">
        <v>0.2</v>
      </c>
      <c r="F15" s="68" t="s">
        <v>56</v>
      </c>
      <c r="H15" s="101">
        <v>0.04</v>
      </c>
      <c r="I15" s="36">
        <v>0.5</v>
      </c>
      <c r="J15" s="99">
        <v>7</v>
      </c>
    </row>
    <row r="16" spans="1:13" outlineLevel="1">
      <c r="B16" s="68" t="s">
        <v>57</v>
      </c>
      <c r="D16" s="36">
        <v>0.14000000000000001</v>
      </c>
      <c r="F16" s="68" t="s">
        <v>58</v>
      </c>
      <c r="H16" s="101">
        <v>0.06</v>
      </c>
      <c r="I16" s="36">
        <v>0.5</v>
      </c>
      <c r="J16" s="99">
        <v>7</v>
      </c>
    </row>
    <row r="17" spans="1:14" outlineLevel="1">
      <c r="F17" s="68"/>
      <c r="N17" s="4" t="s">
        <v>59</v>
      </c>
    </row>
    <row r="18" spans="1:14" outlineLevel="1">
      <c r="B18" s="44" t="s">
        <v>60</v>
      </c>
      <c r="F18" s="68" t="s">
        <v>61</v>
      </c>
      <c r="H18" s="102">
        <v>5</v>
      </c>
    </row>
    <row r="19" spans="1:14" outlineLevel="1">
      <c r="B19" s="68" t="s">
        <v>17</v>
      </c>
      <c r="D19" s="36">
        <v>1.4999999999999999E-2</v>
      </c>
    </row>
    <row r="20" spans="1:14" outlineLevel="1">
      <c r="B20" s="68" t="s">
        <v>62</v>
      </c>
      <c r="D20" s="99">
        <v>13</v>
      </c>
    </row>
    <row r="21" spans="1:14" outlineLevel="1">
      <c r="B21" s="68" t="s">
        <v>63</v>
      </c>
      <c r="D21" s="99">
        <v>0.55500000000000005</v>
      </c>
      <c r="F21" s="103" t="s">
        <v>64</v>
      </c>
      <c r="G21" s="104" t="s">
        <v>65</v>
      </c>
      <c r="K21" s="19"/>
    </row>
    <row r="22" spans="1:14" outlineLevel="1">
      <c r="B22" s="68" t="s">
        <v>66</v>
      </c>
      <c r="D22" s="36">
        <v>0.25</v>
      </c>
      <c r="K22" s="20"/>
    </row>
    <row r="23" spans="1:14" outlineLevel="1">
      <c r="B23" s="68" t="s">
        <v>67</v>
      </c>
      <c r="D23" s="36">
        <v>0.9</v>
      </c>
    </row>
    <row r="24" spans="1:14" outlineLevel="1">
      <c r="B24" s="68" t="s">
        <v>68</v>
      </c>
      <c r="D24" s="101">
        <f>1-D23</f>
        <v>0.1</v>
      </c>
    </row>
    <row r="25" spans="1:14" outlineLevel="1">
      <c r="B25" s="68" t="s">
        <v>69</v>
      </c>
      <c r="D25" s="36">
        <v>0.1</v>
      </c>
      <c r="E25" s="105" t="s">
        <v>70</v>
      </c>
    </row>
    <row r="26" spans="1:14" ht="3.9" customHeight="1"/>
    <row r="27" spans="1:14" s="32" customFormat="1">
      <c r="A27" s="90" t="s">
        <v>33</v>
      </c>
      <c r="B27" s="1" t="s">
        <v>71</v>
      </c>
    </row>
    <row r="28" spans="1:14" outlineLevel="1">
      <c r="L28" s="106"/>
      <c r="M28" s="13"/>
      <c r="N28" s="106"/>
    </row>
    <row r="29" spans="1:14" ht="24" customHeight="1" outlineLevel="1">
      <c r="B29" s="107" t="s">
        <v>72</v>
      </c>
      <c r="C29" s="108" t="s">
        <v>73</v>
      </c>
      <c r="D29" s="108" t="s">
        <v>74</v>
      </c>
      <c r="E29" s="108" t="s">
        <v>75</v>
      </c>
      <c r="F29" s="108" t="s">
        <v>76</v>
      </c>
      <c r="G29" s="108" t="s">
        <v>77</v>
      </c>
      <c r="H29" s="108" t="s">
        <v>78</v>
      </c>
      <c r="I29" s="108" t="s">
        <v>79</v>
      </c>
      <c r="J29" s="108" t="s">
        <v>80</v>
      </c>
      <c r="K29" s="108" t="s">
        <v>81</v>
      </c>
      <c r="L29" s="108" t="s">
        <v>82</v>
      </c>
      <c r="M29" s="108" t="s">
        <v>83</v>
      </c>
      <c r="N29" s="108" t="s">
        <v>84</v>
      </c>
    </row>
    <row r="30" spans="1:14" outlineLevel="1">
      <c r="B30" s="109"/>
      <c r="C30" s="110"/>
      <c r="D30" s="110"/>
      <c r="E30" s="110"/>
      <c r="G30" s="110"/>
      <c r="I30" s="110"/>
      <c r="J30" s="110"/>
      <c r="K30" s="110"/>
    </row>
    <row r="31" spans="1:14" outlineLevel="1">
      <c r="B31" s="111" t="s">
        <v>85</v>
      </c>
      <c r="C31" s="110"/>
      <c r="D31" s="110"/>
      <c r="E31" s="110"/>
      <c r="G31" s="110"/>
      <c r="I31" s="110"/>
      <c r="J31" s="110"/>
      <c r="K31" s="110"/>
    </row>
    <row r="32" spans="1:14" outlineLevel="1">
      <c r="B32" s="68" t="s">
        <v>10</v>
      </c>
      <c r="C32" s="112">
        <v>521805.28100000002</v>
      </c>
      <c r="D32" s="36">
        <v>0.33100000000000002</v>
      </c>
      <c r="E32" s="113">
        <f>$H$12*1000000*D32</f>
        <v>7050300</v>
      </c>
      <c r="F32" s="70">
        <f t="shared" ref="F32:F43" si="0">E32*$D$19</f>
        <v>105754.5</v>
      </c>
      <c r="G32" s="114">
        <v>0</v>
      </c>
      <c r="H32" s="41">
        <f t="shared" ref="H32:I34" si="1">D32*G32</f>
        <v>0</v>
      </c>
      <c r="I32" s="70">
        <f t="shared" si="1"/>
        <v>0</v>
      </c>
      <c r="J32" s="113">
        <f>E32-I32-F32</f>
        <v>6944545.5</v>
      </c>
      <c r="K32" s="115">
        <f>I32</f>
        <v>0</v>
      </c>
      <c r="L32" s="115">
        <f>K32</f>
        <v>0</v>
      </c>
      <c r="M32" s="115">
        <f>L32*$D$23</f>
        <v>0</v>
      </c>
      <c r="N32" s="115">
        <f>L32*$D$24</f>
        <v>0</v>
      </c>
    </row>
    <row r="33" spans="2:19" outlineLevel="1">
      <c r="B33" s="68" t="s">
        <v>18</v>
      </c>
      <c r="C33" s="112">
        <v>0</v>
      </c>
      <c r="D33" s="36">
        <v>0</v>
      </c>
      <c r="E33" s="113">
        <f>$H$12*1000000*D33</f>
        <v>0</v>
      </c>
      <c r="F33" s="70">
        <f t="shared" si="0"/>
        <v>0</v>
      </c>
      <c r="G33" s="114">
        <v>0</v>
      </c>
      <c r="H33" s="41">
        <f t="shared" si="1"/>
        <v>0</v>
      </c>
      <c r="I33" s="70">
        <f t="shared" si="1"/>
        <v>0</v>
      </c>
      <c r="J33" s="113">
        <f>E33-I33-F33</f>
        <v>0</v>
      </c>
      <c r="K33" s="115">
        <f>I33</f>
        <v>0</v>
      </c>
      <c r="L33" s="115">
        <f>K33</f>
        <v>0</v>
      </c>
      <c r="M33" s="115">
        <f>L33*$D$23</f>
        <v>0</v>
      </c>
      <c r="N33" s="115">
        <f>L33*$D$24</f>
        <v>0</v>
      </c>
      <c r="O33" s="116"/>
      <c r="P33" s="41"/>
      <c r="R33" s="116"/>
      <c r="S33" s="41"/>
    </row>
    <row r="34" spans="2:19" outlineLevel="1">
      <c r="B34" s="68" t="s">
        <v>20</v>
      </c>
      <c r="C34" s="112">
        <v>165000.04269715</v>
      </c>
      <c r="D34" s="36">
        <v>0.104665506696466</v>
      </c>
      <c r="E34" s="113">
        <f>$H$12*1000000*D34</f>
        <v>2229375.29263472</v>
      </c>
      <c r="F34" s="70">
        <f t="shared" si="0"/>
        <v>33440.6293895208</v>
      </c>
      <c r="G34" s="114">
        <v>0</v>
      </c>
      <c r="H34" s="41">
        <f t="shared" si="1"/>
        <v>0</v>
      </c>
      <c r="I34" s="70">
        <f t="shared" si="1"/>
        <v>0</v>
      </c>
      <c r="J34" s="113">
        <f>E34-I34-F34</f>
        <v>2195934.6632452002</v>
      </c>
      <c r="K34" s="115">
        <f>I34</f>
        <v>0</v>
      </c>
      <c r="L34" s="115">
        <f>K34</f>
        <v>0</v>
      </c>
      <c r="M34" s="115">
        <f>L34*$D$23</f>
        <v>0</v>
      </c>
      <c r="N34" s="115">
        <f>L34*$D$24</f>
        <v>0</v>
      </c>
      <c r="O34" s="116"/>
      <c r="P34" s="41"/>
      <c r="R34" s="116"/>
      <c r="S34" s="41"/>
    </row>
    <row r="35" spans="2:19" outlineLevel="1">
      <c r="B35" s="68"/>
      <c r="C35" s="112"/>
      <c r="D35" s="36"/>
      <c r="E35" s="113"/>
      <c r="F35" s="70">
        <f t="shared" si="0"/>
        <v>0</v>
      </c>
      <c r="G35" s="114"/>
      <c r="H35" s="101"/>
      <c r="I35" s="70"/>
      <c r="J35" s="113"/>
      <c r="K35" s="115">
        <f>I35</f>
        <v>0</v>
      </c>
      <c r="L35" s="70"/>
      <c r="M35" s="70"/>
      <c r="N35" s="70"/>
    </row>
    <row r="36" spans="2:19" outlineLevel="1">
      <c r="B36" s="117" t="s">
        <v>86</v>
      </c>
      <c r="C36" s="112"/>
      <c r="D36" s="36"/>
      <c r="E36" s="113"/>
      <c r="F36" s="70">
        <f t="shared" si="0"/>
        <v>0</v>
      </c>
      <c r="G36" s="114"/>
      <c r="H36" s="101"/>
      <c r="I36" s="70"/>
      <c r="J36" s="113"/>
      <c r="K36" s="115">
        <f>I36</f>
        <v>0</v>
      </c>
      <c r="L36" s="70"/>
      <c r="M36" s="70"/>
      <c r="N36" s="70"/>
    </row>
    <row r="37" spans="2:19" outlineLevel="1">
      <c r="B37" s="68" t="s">
        <v>12</v>
      </c>
      <c r="C37" s="112">
        <v>553334.30099999998</v>
      </c>
      <c r="D37" s="36">
        <v>0.35099999999999998</v>
      </c>
      <c r="E37" s="113">
        <f>$H$12*1000000*D37</f>
        <v>7476300</v>
      </c>
      <c r="F37" s="70">
        <f t="shared" si="0"/>
        <v>112144.5</v>
      </c>
      <c r="G37" s="114">
        <v>0.5</v>
      </c>
      <c r="H37" s="41">
        <f t="shared" ref="H37:I39" si="2">D37*G37</f>
        <v>0.17549999999999999</v>
      </c>
      <c r="I37" s="70">
        <f t="shared" si="2"/>
        <v>1312090.6499999999</v>
      </c>
      <c r="J37" s="113">
        <f>E37-I37-F37</f>
        <v>6052064.8499999996</v>
      </c>
      <c r="K37" s="115">
        <v>0</v>
      </c>
      <c r="L37" s="113">
        <f>I37+K37</f>
        <v>1312090.6499999999</v>
      </c>
      <c r="M37" s="113">
        <f>L37*$D$23</f>
        <v>1180881.585</v>
      </c>
      <c r="N37" s="113">
        <f>L37*$D$24</f>
        <v>131209.065</v>
      </c>
    </row>
    <row r="38" spans="2:19" outlineLevel="1">
      <c r="B38" s="68" t="s">
        <v>14</v>
      </c>
      <c r="C38" s="112">
        <v>102469.315</v>
      </c>
      <c r="D38" s="36">
        <v>6.5000000000000002E-2</v>
      </c>
      <c r="E38" s="113">
        <f>$H$12*1000000*D38</f>
        <v>1384500</v>
      </c>
      <c r="F38" s="70">
        <f t="shared" si="0"/>
        <v>20767.5</v>
      </c>
      <c r="G38" s="114">
        <v>0.5</v>
      </c>
      <c r="H38" s="41">
        <f t="shared" si="2"/>
        <v>3.2500000000000001E-2</v>
      </c>
      <c r="I38" s="70">
        <f t="shared" si="2"/>
        <v>44996.25</v>
      </c>
      <c r="J38" s="113">
        <f>E38-I38-F38</f>
        <v>1318736.25</v>
      </c>
      <c r="K38" s="115">
        <v>0</v>
      </c>
      <c r="L38" s="113">
        <f>I38+K38</f>
        <v>44996.25</v>
      </c>
      <c r="M38" s="113">
        <f>L38*$D$23</f>
        <v>40496.625</v>
      </c>
      <c r="N38" s="113">
        <f>L38*$D$24</f>
        <v>4499.625</v>
      </c>
    </row>
    <row r="39" spans="2:19" outlineLevel="1">
      <c r="B39" s="68" t="s">
        <v>16</v>
      </c>
      <c r="C39" s="112">
        <v>95000.024736483305</v>
      </c>
      <c r="D39" s="36">
        <v>6.02619584982238E-2</v>
      </c>
      <c r="E39" s="113">
        <f>$H$12*1000000*D39</f>
        <v>1283579.7160121701</v>
      </c>
      <c r="F39" s="70">
        <f t="shared" si="0"/>
        <v>19253.695740182498</v>
      </c>
      <c r="G39" s="114">
        <v>0.5</v>
      </c>
      <c r="H39" s="41">
        <f t="shared" si="2"/>
        <v>3.01309792491119E-2</v>
      </c>
      <c r="I39" s="70">
        <f t="shared" si="2"/>
        <v>38675.513787743497</v>
      </c>
      <c r="J39" s="113">
        <f>E39-I39-F39</f>
        <v>1225650.5064842401</v>
      </c>
      <c r="K39" s="115">
        <v>0</v>
      </c>
      <c r="L39" s="113">
        <f>I39+K39</f>
        <v>38675.513787743497</v>
      </c>
      <c r="M39" s="113">
        <f>L39*$D$23</f>
        <v>34807.962408969201</v>
      </c>
      <c r="N39" s="113">
        <f>L39*$D$24</f>
        <v>3867.5513787743498</v>
      </c>
      <c r="O39" s="116"/>
      <c r="P39" s="41"/>
    </row>
    <row r="40" spans="2:19" outlineLevel="1">
      <c r="B40" s="68"/>
      <c r="C40" s="112"/>
      <c r="D40" s="36"/>
      <c r="E40" s="113"/>
      <c r="F40" s="70">
        <f t="shared" si="0"/>
        <v>0</v>
      </c>
      <c r="G40" s="114"/>
      <c r="H40" s="101"/>
      <c r="I40" s="70"/>
      <c r="J40" s="113"/>
      <c r="K40" s="115"/>
      <c r="L40" s="113"/>
      <c r="M40" s="113"/>
      <c r="N40" s="113"/>
      <c r="O40" s="116"/>
      <c r="P40" s="41"/>
    </row>
    <row r="41" spans="2:19" outlineLevel="1">
      <c r="B41" s="117" t="s">
        <v>87</v>
      </c>
      <c r="C41" s="112"/>
      <c r="D41" s="36"/>
      <c r="E41" s="113"/>
      <c r="F41" s="70">
        <f t="shared" si="0"/>
        <v>0</v>
      </c>
      <c r="G41" s="114"/>
      <c r="H41" s="101"/>
      <c r="I41" s="70"/>
      <c r="J41" s="113"/>
      <c r="K41" s="115"/>
      <c r="L41" s="113"/>
      <c r="M41" s="113"/>
      <c r="N41" s="113"/>
      <c r="O41" s="116"/>
      <c r="P41" s="41"/>
    </row>
    <row r="42" spans="2:19" outlineLevel="1">
      <c r="B42" s="68" t="s">
        <v>21</v>
      </c>
      <c r="C42" s="112">
        <v>97999.025316252097</v>
      </c>
      <c r="D42" s="36">
        <v>6.2164333249972302E-2</v>
      </c>
      <c r="E42" s="113">
        <f>$H$12*1000000*D42</f>
        <v>1324100.29822441</v>
      </c>
      <c r="F42" s="70">
        <f t="shared" si="0"/>
        <v>19861.504473366102</v>
      </c>
      <c r="G42" s="114">
        <v>0.5</v>
      </c>
      <c r="H42" s="41">
        <f>D42*G42</f>
        <v>3.1082166624986099E-2</v>
      </c>
      <c r="I42" s="70">
        <f>E42*H42</f>
        <v>41155.906097605002</v>
      </c>
      <c r="J42" s="113">
        <f>E42-I42-F42</f>
        <v>1263082.88765344</v>
      </c>
      <c r="K42" s="115">
        <v>0</v>
      </c>
      <c r="L42" s="113">
        <f>I42+K42</f>
        <v>41155.906097605002</v>
      </c>
      <c r="M42" s="113">
        <f>L42*$D$23</f>
        <v>37040.315487844498</v>
      </c>
      <c r="N42" s="113">
        <f>L42*$D$24</f>
        <v>4115.5906097604902</v>
      </c>
      <c r="O42" s="118"/>
      <c r="P42" s="119"/>
      <c r="R42" s="116"/>
    </row>
    <row r="43" spans="2:19" outlineLevel="1">
      <c r="B43" s="68" t="s">
        <v>88</v>
      </c>
      <c r="C43" s="112">
        <v>40843.010535652102</v>
      </c>
      <c r="D43" s="36">
        <v>2.5908201736465099E-2</v>
      </c>
      <c r="E43" s="113">
        <f>$H$12*1000000*D43</f>
        <v>551844.69698670704</v>
      </c>
      <c r="F43" s="70">
        <f t="shared" si="0"/>
        <v>8277.6704548006001</v>
      </c>
      <c r="G43" s="114">
        <v>0.5</v>
      </c>
      <c r="H43" s="41">
        <f>D43*G43</f>
        <v>1.2954100868232499E-2</v>
      </c>
      <c r="I43" s="70">
        <f>E43*H43</f>
        <v>7148.6518683650202</v>
      </c>
      <c r="J43" s="113">
        <f>E43-I43-F43</f>
        <v>536418.37466354098</v>
      </c>
      <c r="K43" s="115">
        <v>0</v>
      </c>
      <c r="L43" s="113">
        <f>I43+K43</f>
        <v>7148.6518683650202</v>
      </c>
      <c r="M43" s="113">
        <f>L43*$D$23</f>
        <v>6433.7866815285197</v>
      </c>
      <c r="N43" s="113">
        <f>L43*$D$24</f>
        <v>714.86518683650195</v>
      </c>
    </row>
    <row r="44" spans="2:19" outlineLevel="1">
      <c r="C44" s="112"/>
      <c r="D44" s="36"/>
      <c r="E44" s="70"/>
      <c r="F44" s="70"/>
      <c r="G44" s="120"/>
      <c r="H44" s="101"/>
      <c r="I44" s="70"/>
      <c r="J44" s="113"/>
      <c r="K44" s="70"/>
      <c r="L44" s="121"/>
      <c r="M44" s="70"/>
      <c r="N44" s="121"/>
      <c r="Q44" s="36"/>
    </row>
    <row r="45" spans="2:19" outlineLevel="1">
      <c r="B45" s="44" t="s">
        <v>89</v>
      </c>
      <c r="C45" s="112"/>
      <c r="D45" s="36"/>
      <c r="E45" s="70"/>
      <c r="F45" s="70"/>
      <c r="G45" s="120"/>
      <c r="I45" s="70"/>
      <c r="J45" s="113"/>
      <c r="K45" s="70"/>
      <c r="L45" s="121"/>
      <c r="M45" s="121"/>
      <c r="N45" s="121"/>
      <c r="Q45" s="36"/>
    </row>
    <row r="46" spans="2:19" outlineLevel="1">
      <c r="B46" s="68" t="s">
        <v>90</v>
      </c>
      <c r="C46" s="112">
        <v>0</v>
      </c>
      <c r="D46" s="115">
        <v>0</v>
      </c>
      <c r="E46" s="115">
        <f>C46*D46</f>
        <v>0</v>
      </c>
      <c r="F46" s="70">
        <f>E46*0.015</f>
        <v>0</v>
      </c>
      <c r="G46" s="115">
        <v>0</v>
      </c>
      <c r="H46" s="115">
        <f t="shared" ref="H46:I48" si="3">D46*G46</f>
        <v>0</v>
      </c>
      <c r="I46" s="70">
        <f t="shared" si="3"/>
        <v>0</v>
      </c>
      <c r="J46" s="113">
        <f>E46-I46-F46</f>
        <v>0</v>
      </c>
      <c r="K46" s="113">
        <f>($D$20+$D$14+$D$21-$H$18-2*$D$14*$H$50)*1000000</f>
        <v>9557030.6649852805</v>
      </c>
      <c r="L46" s="113">
        <f>K46</f>
        <v>9557030.6649852805</v>
      </c>
      <c r="M46" s="113">
        <f>L46*$D$23</f>
        <v>8601327.5984867495</v>
      </c>
      <c r="N46" s="113">
        <f>L46*$D$24</f>
        <v>955703.066498528</v>
      </c>
      <c r="Q46" s="36"/>
    </row>
    <row r="47" spans="2:19" outlineLevel="1">
      <c r="B47" s="68" t="s">
        <v>66</v>
      </c>
      <c r="C47" s="112">
        <v>0</v>
      </c>
      <c r="D47" s="115">
        <v>0</v>
      </c>
      <c r="E47" s="115">
        <f>C47*D47</f>
        <v>0</v>
      </c>
      <c r="F47" s="70">
        <f>E47*0.015</f>
        <v>0</v>
      </c>
      <c r="G47" s="115">
        <v>0</v>
      </c>
      <c r="H47" s="115">
        <f t="shared" si="3"/>
        <v>0</v>
      </c>
      <c r="I47" s="70">
        <f t="shared" si="3"/>
        <v>0</v>
      </c>
      <c r="J47" s="113">
        <f>E47-I47-F47</f>
        <v>0</v>
      </c>
      <c r="K47" s="113">
        <v>0</v>
      </c>
      <c r="L47" s="113">
        <v>0</v>
      </c>
      <c r="M47" s="115">
        <v>0</v>
      </c>
      <c r="N47" s="115">
        <f>N63*$D$22/(1-$D$22)</f>
        <v>0</v>
      </c>
      <c r="Q47" s="36"/>
    </row>
    <row r="48" spans="2:19" outlineLevel="1">
      <c r="B48" s="68" t="s">
        <v>91</v>
      </c>
      <c r="C48" s="112">
        <v>0</v>
      </c>
      <c r="D48" s="115">
        <v>0</v>
      </c>
      <c r="E48" s="115">
        <f>C48*D48</f>
        <v>0</v>
      </c>
      <c r="F48" s="70">
        <f>E48*0.015</f>
        <v>0</v>
      </c>
      <c r="G48" s="70">
        <v>0</v>
      </c>
      <c r="H48" s="115">
        <f t="shared" si="3"/>
        <v>0</v>
      </c>
      <c r="I48" s="70">
        <f t="shared" si="3"/>
        <v>0</v>
      </c>
      <c r="J48" s="113">
        <f>E48-I48-F48</f>
        <v>0</v>
      </c>
      <c r="K48" s="113">
        <v>0</v>
      </c>
      <c r="L48" s="113">
        <v>0</v>
      </c>
      <c r="M48" s="115">
        <v>0</v>
      </c>
      <c r="N48" s="115">
        <v>0</v>
      </c>
      <c r="Q48" s="36"/>
    </row>
    <row r="49" spans="2:18" outlineLevel="1">
      <c r="C49" s="122"/>
      <c r="D49" s="36"/>
      <c r="E49" s="70"/>
      <c r="G49" s="120"/>
      <c r="I49" s="123"/>
      <c r="J49" s="70"/>
      <c r="K49" s="70"/>
      <c r="L49" s="70"/>
      <c r="M49" s="70"/>
      <c r="N49" s="70"/>
      <c r="Q49" s="36"/>
    </row>
    <row r="50" spans="2:18" outlineLevel="1">
      <c r="B50" s="124" t="s">
        <v>92</v>
      </c>
      <c r="C50" s="125">
        <f>SUM(C32:C43)</f>
        <v>1576451.00028554</v>
      </c>
      <c r="D50" s="126">
        <f>SUM(D32:D43)</f>
        <v>1.00000000018113</v>
      </c>
      <c r="E50" s="127">
        <f>SUM(E32:E43)</f>
        <v>21300000.003858</v>
      </c>
      <c r="F50" s="127">
        <f>SUM(F32:F43)</f>
        <v>319500.00005787</v>
      </c>
      <c r="G50" s="128"/>
      <c r="H50" s="129">
        <f t="shared" ref="H50:N50" si="4">SUM(H32:H48)</f>
        <v>0.28216724674233101</v>
      </c>
      <c r="I50" s="127">
        <f t="shared" si="4"/>
        <v>1444066.9717537099</v>
      </c>
      <c r="J50" s="127">
        <f t="shared" si="4"/>
        <v>19536433.0320464</v>
      </c>
      <c r="K50" s="127">
        <f t="shared" si="4"/>
        <v>9557030.6649852805</v>
      </c>
      <c r="L50" s="127">
        <f t="shared" si="4"/>
        <v>11001097.636739001</v>
      </c>
      <c r="M50" s="127">
        <f t="shared" si="4"/>
        <v>9900987.8730650991</v>
      </c>
      <c r="N50" s="127">
        <f t="shared" si="4"/>
        <v>1100109.7636738999</v>
      </c>
      <c r="P50" s="101"/>
      <c r="Q50" s="36"/>
      <c r="R50" s="39"/>
    </row>
    <row r="51" spans="2:18" outlineLevel="1">
      <c r="O51" s="13"/>
      <c r="P51" s="119"/>
      <c r="Q51" s="36"/>
      <c r="R51" s="119"/>
    </row>
    <row r="52" spans="2:18" outlineLevel="1">
      <c r="B52" s="130" t="s">
        <v>93</v>
      </c>
      <c r="C52" s="131"/>
      <c r="D52" s="131"/>
      <c r="E52" s="132"/>
      <c r="F52" s="131"/>
      <c r="G52" s="131"/>
    </row>
    <row r="53" spans="2:18" ht="24" customHeight="1" outlineLevel="1">
      <c r="B53" s="133"/>
      <c r="C53" s="134" t="s">
        <v>94</v>
      </c>
      <c r="D53" s="135" t="s">
        <v>95</v>
      </c>
      <c r="E53" s="136" t="s">
        <v>96</v>
      </c>
      <c r="F53" s="135" t="s">
        <v>97</v>
      </c>
      <c r="G53" s="135" t="s">
        <v>98</v>
      </c>
      <c r="J53" s="137"/>
      <c r="Q53" s="101"/>
    </row>
    <row r="54" spans="2:18" outlineLevel="1">
      <c r="B54" s="138"/>
      <c r="D54" s="139"/>
      <c r="E54" s="140"/>
      <c r="F54" s="139"/>
      <c r="J54" s="141"/>
      <c r="Q54" s="101"/>
    </row>
    <row r="55" spans="2:18" outlineLevel="1">
      <c r="B55" s="4" t="s">
        <v>12</v>
      </c>
      <c r="C55" s="113">
        <f>N37</f>
        <v>131209.065</v>
      </c>
      <c r="D55" s="50">
        <f t="shared" ref="D55:D60" si="5">C55/$C$63</f>
        <v>0.11926906689912201</v>
      </c>
      <c r="E55" s="142"/>
      <c r="F55" s="50">
        <f>(C55+E55)/(C63+E61)</f>
        <v>8.9451800174341803E-2</v>
      </c>
      <c r="G55" s="113">
        <f t="shared" ref="G55:G61" si="6">F55</f>
        <v>8.9451800174341803E-2</v>
      </c>
    </row>
    <row r="56" spans="2:18" outlineLevel="1">
      <c r="B56" s="4" t="s">
        <v>14</v>
      </c>
      <c r="C56" s="113">
        <f>N38</f>
        <v>4499.625</v>
      </c>
      <c r="D56" s="50">
        <f t="shared" si="5"/>
        <v>4.0901600445515203E-3</v>
      </c>
      <c r="E56" s="142"/>
      <c r="F56" s="50">
        <f>(C56+E56)/(C63+E61)</f>
        <v>3.06762003341364E-3</v>
      </c>
      <c r="G56" s="113">
        <f t="shared" si="6"/>
        <v>3.06762003341364E-3</v>
      </c>
    </row>
    <row r="57" spans="2:18" outlineLevel="1">
      <c r="B57" s="4" t="s">
        <v>16</v>
      </c>
      <c r="C57" s="113">
        <f>N39</f>
        <v>3867.5513787743498</v>
      </c>
      <c r="D57" s="50">
        <f t="shared" si="5"/>
        <v>3.5156049936857E-3</v>
      </c>
      <c r="E57" s="142"/>
      <c r="F57" s="50">
        <f>(C57+E57)/(C63+E61)</f>
        <v>2.6367037452642698E-3</v>
      </c>
      <c r="G57" s="113">
        <f t="shared" si="6"/>
        <v>2.6367037452642698E-3</v>
      </c>
    </row>
    <row r="58" spans="2:18" outlineLevel="1">
      <c r="B58" s="4" t="s">
        <v>21</v>
      </c>
      <c r="C58" s="113">
        <f>N42</f>
        <v>4115.5906097604902</v>
      </c>
      <c r="D58" s="50">
        <f t="shared" si="5"/>
        <v>3.7410727053418498E-3</v>
      </c>
      <c r="E58" s="142"/>
      <c r="F58" s="50">
        <f>(C58+E58)/(C63+E61)</f>
        <v>2.8058045290063798E-3</v>
      </c>
      <c r="G58" s="113">
        <f t="shared" si="6"/>
        <v>2.8058045290063798E-3</v>
      </c>
    </row>
    <row r="59" spans="2:18" outlineLevel="1">
      <c r="B59" s="4" t="s">
        <v>88</v>
      </c>
      <c r="C59" s="113">
        <f>N43</f>
        <v>714.86518683650195</v>
      </c>
      <c r="D59" s="50">
        <f t="shared" si="5"/>
        <v>6.4981260092552597E-4</v>
      </c>
      <c r="E59" s="142"/>
      <c r="F59" s="50">
        <f>(C59+E59)/(C63+E61)</f>
        <v>4.8735945069414399E-4</v>
      </c>
      <c r="G59" s="113">
        <f t="shared" si="6"/>
        <v>4.8735945069414399E-4</v>
      </c>
    </row>
    <row r="60" spans="2:18" outlineLevel="1">
      <c r="B60" s="4" t="s">
        <v>90</v>
      </c>
      <c r="C60" s="113">
        <f>N46</f>
        <v>955703.066498528</v>
      </c>
      <c r="D60" s="50">
        <f t="shared" si="5"/>
        <v>0.86873428275637299</v>
      </c>
      <c r="E60" s="142"/>
      <c r="F60" s="50">
        <f>(C60+E60)/(C63+E61)</f>
        <v>0.65155071206727999</v>
      </c>
      <c r="G60" s="113">
        <f t="shared" si="6"/>
        <v>0.65155071206727999</v>
      </c>
    </row>
    <row r="61" spans="2:18" outlineLevel="1">
      <c r="B61" s="4" t="s">
        <v>66</v>
      </c>
      <c r="C61" s="113"/>
      <c r="D61" s="46">
        <v>0</v>
      </c>
      <c r="E61" s="143">
        <f>$C$63*$D$22/(1-$D$22)</f>
        <v>366703.25455796602</v>
      </c>
      <c r="F61" s="50">
        <f>E61/(C63+E61)</f>
        <v>0.25</v>
      </c>
      <c r="G61" s="113">
        <f t="shared" si="6"/>
        <v>0.25</v>
      </c>
    </row>
    <row r="62" spans="2:18" outlineLevel="1">
      <c r="C62" s="113"/>
      <c r="D62" s="144"/>
      <c r="E62" s="145"/>
      <c r="F62" s="144"/>
      <c r="G62" s="113"/>
    </row>
    <row r="63" spans="2:18" outlineLevel="1">
      <c r="B63" s="124" t="s">
        <v>92</v>
      </c>
      <c r="C63" s="146">
        <f>SUM(C55:C60)</f>
        <v>1100109.7636738999</v>
      </c>
      <c r="D63" s="147">
        <f>SUM(D55:D60)</f>
        <v>1</v>
      </c>
      <c r="E63" s="148">
        <f>SUM(E55:E61)</f>
        <v>366703.25455796602</v>
      </c>
      <c r="F63" s="147">
        <f>SUM(F55:F61)</f>
        <v>1</v>
      </c>
      <c r="G63" s="146">
        <f>SUM(G55:G61)</f>
        <v>1</v>
      </c>
    </row>
    <row r="64" spans="2:18" ht="3.9" customHeight="1"/>
    <row r="65" spans="1:9" s="32" customFormat="1">
      <c r="A65" s="90" t="s">
        <v>33</v>
      </c>
      <c r="B65" s="1" t="s">
        <v>99</v>
      </c>
    </row>
    <row r="66" spans="1:9" outlineLevel="1"/>
    <row r="67" spans="1:9" outlineLevel="1">
      <c r="B67" s="1" t="s">
        <v>100</v>
      </c>
      <c r="C67" s="149"/>
      <c r="D67" s="149"/>
      <c r="F67" s="1" t="s">
        <v>101</v>
      </c>
      <c r="G67" s="149"/>
      <c r="H67" s="149"/>
      <c r="I67" s="149"/>
    </row>
    <row r="68" spans="1:9" outlineLevel="1"/>
    <row r="69" spans="1:9" outlineLevel="1">
      <c r="B69" s="150" t="s">
        <v>91</v>
      </c>
      <c r="D69" s="120"/>
      <c r="E69" s="120">
        <f>D70+D71</f>
        <v>5</v>
      </c>
      <c r="F69" s="151" t="s">
        <v>62</v>
      </c>
      <c r="G69" s="120"/>
      <c r="I69" s="47">
        <f>$D$20</f>
        <v>13</v>
      </c>
    </row>
    <row r="70" spans="1:9" outlineLevel="1">
      <c r="B70" s="68" t="s">
        <v>102</v>
      </c>
      <c r="D70" s="113">
        <f>$H$18*$I$15</f>
        <v>2.5</v>
      </c>
      <c r="E70" s="152">
        <f>D70</f>
        <v>2.5</v>
      </c>
      <c r="I70" s="47"/>
    </row>
    <row r="71" spans="1:9" outlineLevel="1">
      <c r="B71" s="68" t="s">
        <v>103</v>
      </c>
      <c r="D71" s="113">
        <f>$H$18*$I$16</f>
        <v>2.5</v>
      </c>
      <c r="E71" s="152">
        <f>D71</f>
        <v>2.5</v>
      </c>
      <c r="F71" s="151" t="s">
        <v>104</v>
      </c>
      <c r="I71" s="47">
        <f>$D$14*(1-$H$50)</f>
        <v>1.65101533249264</v>
      </c>
    </row>
    <row r="72" spans="1:9" outlineLevel="1">
      <c r="B72" s="68"/>
      <c r="D72" s="113"/>
      <c r="E72" s="101"/>
      <c r="F72" s="151"/>
      <c r="I72" s="47"/>
    </row>
    <row r="73" spans="1:9" outlineLevel="1">
      <c r="B73" s="150" t="s">
        <v>105</v>
      </c>
      <c r="D73" s="113"/>
      <c r="E73" s="101"/>
      <c r="F73" s="151" t="s">
        <v>106</v>
      </c>
      <c r="G73" s="120"/>
      <c r="I73" s="47">
        <f>SUM(L37:L39)/1000000</f>
        <v>1.39576241378774</v>
      </c>
    </row>
    <row r="74" spans="1:9" outlineLevel="1">
      <c r="B74" s="68" t="s">
        <v>86</v>
      </c>
      <c r="D74" s="113">
        <f>SUM(M37:M39)/1000000</f>
        <v>1.25618617240897</v>
      </c>
      <c r="E74" s="152">
        <f>D74</f>
        <v>1.25618617240897</v>
      </c>
      <c r="F74" s="151"/>
      <c r="G74" s="120"/>
      <c r="I74" s="47"/>
    </row>
    <row r="75" spans="1:9" outlineLevel="1">
      <c r="B75" s="68" t="s">
        <v>87</v>
      </c>
      <c r="D75" s="113">
        <f>SUM(M42:M43)/1000000</f>
        <v>4.3474102169373002E-2</v>
      </c>
      <c r="E75" s="152">
        <f>D75</f>
        <v>4.3474102169373002E-2</v>
      </c>
      <c r="F75" s="151" t="s">
        <v>107</v>
      </c>
      <c r="I75" s="47">
        <f>SUM(L42:L43)/1000000</f>
        <v>4.8304557965970003E-2</v>
      </c>
    </row>
    <row r="76" spans="1:9" outlineLevel="1">
      <c r="B76" s="68" t="s">
        <v>90</v>
      </c>
      <c r="D76" s="113">
        <f>M46/1000000</f>
        <v>8.6013275984867494</v>
      </c>
      <c r="E76" s="152">
        <f>D76</f>
        <v>8.6013275984867494</v>
      </c>
      <c r="F76" s="120"/>
      <c r="G76" s="120"/>
      <c r="I76" s="47"/>
    </row>
    <row r="77" spans="1:9" outlineLevel="1">
      <c r="B77" s="68"/>
      <c r="D77" s="113"/>
      <c r="E77" s="120"/>
      <c r="F77" s="151" t="s">
        <v>108</v>
      </c>
      <c r="G77" s="120"/>
      <c r="I77" s="75">
        <f>$D$21</f>
        <v>0.55500000000000005</v>
      </c>
    </row>
    <row r="78" spans="1:9" outlineLevel="1">
      <c r="B78" s="150" t="s">
        <v>109</v>
      </c>
      <c r="D78" s="113"/>
      <c r="E78" s="120" t="s">
        <v>110</v>
      </c>
      <c r="F78" s="120"/>
      <c r="G78" s="120"/>
      <c r="I78" s="70"/>
    </row>
    <row r="79" spans="1:9" outlineLevel="1">
      <c r="B79" s="68" t="s">
        <v>86</v>
      </c>
      <c r="D79" s="113">
        <f>SUM(N37:N39)/1000000</f>
        <v>0.139576241378774</v>
      </c>
      <c r="E79" s="152">
        <f>D79/N50</f>
        <v>1.2687483193736001E-7</v>
      </c>
      <c r="F79" s="120"/>
      <c r="G79" s="120"/>
      <c r="I79" s="70"/>
    </row>
    <row r="80" spans="1:9" outlineLevel="1">
      <c r="B80" s="68" t="s">
        <v>87</v>
      </c>
      <c r="D80" s="113">
        <f>SUM(N42:N43)/1000000</f>
        <v>4.8304557965970002E-3</v>
      </c>
      <c r="E80" s="152">
        <f>D80/N50</f>
        <v>4.3908853062673697E-9</v>
      </c>
      <c r="F80" s="120"/>
      <c r="G80" s="120"/>
      <c r="I80" s="70"/>
    </row>
    <row r="81" spans="1:13" outlineLevel="1">
      <c r="B81" s="68" t="s">
        <v>90</v>
      </c>
      <c r="D81" s="113">
        <f>N46/1000000</f>
        <v>0.95570306649852799</v>
      </c>
      <c r="E81" s="152">
        <f>D81/N50</f>
        <v>8.6873428275637299E-7</v>
      </c>
      <c r="F81" s="120"/>
      <c r="G81" s="120"/>
      <c r="I81" s="70"/>
    </row>
    <row r="82" spans="1:13" outlineLevel="1">
      <c r="B82" s="68"/>
      <c r="D82" s="113"/>
      <c r="E82" s="120"/>
      <c r="F82" s="120"/>
      <c r="G82" s="120"/>
      <c r="I82" s="70"/>
    </row>
    <row r="83" spans="1:13" outlineLevel="1">
      <c r="B83" s="68" t="s">
        <v>111</v>
      </c>
      <c r="D83" s="113">
        <f>$D$14*$H$50</f>
        <v>0.64898466750735995</v>
      </c>
      <c r="F83" s="120"/>
      <c r="G83" s="120"/>
      <c r="I83" s="70"/>
    </row>
    <row r="84" spans="1:13" outlineLevel="1">
      <c r="B84" s="68" t="s">
        <v>112</v>
      </c>
      <c r="D84" s="70">
        <f>D83</f>
        <v>0.64898466750735995</v>
      </c>
      <c r="F84" s="120"/>
      <c r="G84" s="120"/>
      <c r="I84" s="70"/>
    </row>
    <row r="85" spans="1:13" outlineLevel="1">
      <c r="B85" s="68"/>
      <c r="D85" s="70"/>
      <c r="F85" s="120"/>
      <c r="G85" s="120"/>
      <c r="I85" s="70"/>
    </row>
    <row r="86" spans="1:13" outlineLevel="1">
      <c r="D86" s="70"/>
      <c r="E86" s="120"/>
      <c r="F86" s="120"/>
      <c r="G86" s="120"/>
      <c r="I86" s="70"/>
    </row>
    <row r="87" spans="1:13" s="13" customFormat="1" outlineLevel="1">
      <c r="A87" s="62"/>
      <c r="B87" s="48" t="s">
        <v>113</v>
      </c>
      <c r="C87" s="48"/>
      <c r="D87" s="153">
        <f>D70+D71+D74+D75+D76+D79+D80+D81+D83</f>
        <v>16.6500823042464</v>
      </c>
      <c r="E87" s="154"/>
      <c r="F87" s="155" t="s">
        <v>114</v>
      </c>
      <c r="G87" s="155"/>
      <c r="H87" s="155"/>
      <c r="I87" s="153">
        <f>I69+I71+I73+I75+I77</f>
        <v>16.6500823042464</v>
      </c>
    </row>
    <row r="88" spans="1:13" ht="14.4" outlineLevel="1">
      <c r="B88" s="156" t="s">
        <v>115</v>
      </c>
      <c r="D88" s="141">
        <f>D87-I87</f>
        <v>0</v>
      </c>
      <c r="E88" s="156" t="str">
        <f>IF(ABS(D88)&lt;0.01,"OK - Balanced","!! CHECK S=U !!")</f>
        <v>OK - Balanced</v>
      </c>
    </row>
    <row r="89" spans="1:13" outlineLevel="1">
      <c r="B89" s="157"/>
      <c r="C89" s="13"/>
      <c r="D89" s="141"/>
    </row>
    <row r="90" spans="1:13" ht="3.9" customHeight="1"/>
    <row r="91" spans="1:13" s="32" customFormat="1">
      <c r="A91" s="90" t="s">
        <v>33</v>
      </c>
      <c r="B91" s="1" t="s">
        <v>116</v>
      </c>
    </row>
    <row r="92" spans="1:13" outlineLevel="1"/>
    <row r="93" spans="1:13" outlineLevel="1">
      <c r="B93" s="158" t="s">
        <v>4</v>
      </c>
      <c r="C93" s="58">
        <v>45657</v>
      </c>
      <c r="D93" s="58">
        <v>46022</v>
      </c>
      <c r="E93" s="159" t="s">
        <v>117</v>
      </c>
      <c r="F93" s="60">
        <v>46387</v>
      </c>
      <c r="G93" s="60">
        <v>46752</v>
      </c>
      <c r="H93" s="60">
        <v>47118</v>
      </c>
      <c r="I93" s="60">
        <v>47483</v>
      </c>
      <c r="J93" s="60">
        <v>47848</v>
      </c>
      <c r="K93" s="3"/>
    </row>
    <row r="94" spans="1:13" ht="14.25" customHeight="1" outlineLevel="1">
      <c r="B94" s="2"/>
      <c r="C94" s="160"/>
      <c r="D94" s="160"/>
      <c r="E94" s="161"/>
      <c r="F94" s="160"/>
      <c r="G94" s="160"/>
      <c r="H94" s="160"/>
    </row>
    <row r="95" spans="1:13" outlineLevel="1">
      <c r="B95" s="13" t="s">
        <v>5</v>
      </c>
      <c r="C95" s="162">
        <v>9.99</v>
      </c>
      <c r="D95" s="162">
        <v>15.7</v>
      </c>
      <c r="E95" s="163">
        <f>D95*$M$8</f>
        <v>3.9572602739725999</v>
      </c>
      <c r="F95" s="162">
        <v>19</v>
      </c>
      <c r="G95" s="162">
        <v>22.7</v>
      </c>
      <c r="H95" s="162">
        <v>27.3</v>
      </c>
      <c r="I95" s="162">
        <v>32.700000000000003</v>
      </c>
      <c r="J95" s="164">
        <f>I95*(1+$D$15)</f>
        <v>39.24</v>
      </c>
    </row>
    <row r="96" spans="1:13" s="89" customFormat="1" ht="11.25" customHeight="1" outlineLevel="1">
      <c r="A96" s="165"/>
      <c r="B96" s="166" t="s">
        <v>118</v>
      </c>
      <c r="C96" s="167"/>
      <c r="D96" s="167">
        <f>D95/C95-1</f>
        <v>0.57157157157157101</v>
      </c>
      <c r="E96" s="168"/>
      <c r="F96" s="167">
        <f>F95/D95-1</f>
        <v>0.210191082802548</v>
      </c>
      <c r="G96" s="167">
        <f>G95/F95-1</f>
        <v>0.19473684210526301</v>
      </c>
      <c r="H96" s="167">
        <f>H95/G95-1</f>
        <v>0.20264317180616701</v>
      </c>
      <c r="I96" s="167">
        <f>I95/H95-1</f>
        <v>0.19780219780219799</v>
      </c>
      <c r="J96" s="167">
        <f>J95/I95-1</f>
        <v>0.2</v>
      </c>
      <c r="M96" s="169"/>
    </row>
    <row r="97" spans="1:13" outlineLevel="1">
      <c r="B97" s="15" t="s">
        <v>6</v>
      </c>
      <c r="C97" s="170">
        <v>1.034</v>
      </c>
      <c r="D97" s="170">
        <v>2.3119999999999998</v>
      </c>
      <c r="E97" s="163">
        <f>D97*$M$8</f>
        <v>0.58275068493150695</v>
      </c>
      <c r="F97" s="170">
        <v>2.3769999999999998</v>
      </c>
      <c r="G97" s="170">
        <v>2.9609999999999999</v>
      </c>
      <c r="H97" s="170">
        <v>3.762</v>
      </c>
      <c r="I97" s="170">
        <v>4.7430000000000003</v>
      </c>
      <c r="J97" s="170">
        <f>J95*$D$16</f>
        <v>5.4935999999999998</v>
      </c>
    </row>
    <row r="98" spans="1:13" s="89" customFormat="1" ht="11.25" customHeight="1" outlineLevel="1">
      <c r="A98" s="165"/>
      <c r="B98" s="166" t="s">
        <v>119</v>
      </c>
      <c r="C98" s="171">
        <f t="shared" ref="C98:J98" si="7">C97/C95</f>
        <v>0.103503503503503</v>
      </c>
      <c r="D98" s="171">
        <f t="shared" si="7"/>
        <v>0.14726114649681499</v>
      </c>
      <c r="E98" s="172">
        <f t="shared" si="7"/>
        <v>0.14726114649681499</v>
      </c>
      <c r="F98" s="171">
        <f t="shared" si="7"/>
        <v>0.125105263157895</v>
      </c>
      <c r="G98" s="171">
        <f t="shared" si="7"/>
        <v>0.13044052863436101</v>
      </c>
      <c r="H98" s="171">
        <f t="shared" si="7"/>
        <v>0.13780219780219799</v>
      </c>
      <c r="I98" s="171">
        <f t="shared" si="7"/>
        <v>0.145045871559633</v>
      </c>
      <c r="J98" s="171">
        <f t="shared" si="7"/>
        <v>0.14000000000000001</v>
      </c>
      <c r="M98" s="169"/>
    </row>
    <row r="99" spans="1:13" outlineLevel="1">
      <c r="B99" s="68" t="s">
        <v>120</v>
      </c>
      <c r="C99" s="70">
        <f t="shared" ref="C99:J99" si="8">-C95*$D$11</f>
        <v>-9.9900000000000003E-2</v>
      </c>
      <c r="D99" s="70">
        <f t="shared" si="8"/>
        <v>-0.157</v>
      </c>
      <c r="E99" s="173">
        <f t="shared" si="8"/>
        <v>-3.9572602739726001E-2</v>
      </c>
      <c r="F99" s="70">
        <f t="shared" si="8"/>
        <v>-0.19</v>
      </c>
      <c r="G99" s="70">
        <f t="shared" si="8"/>
        <v>-0.22700000000000001</v>
      </c>
      <c r="H99" s="70">
        <f t="shared" si="8"/>
        <v>-0.27300000000000002</v>
      </c>
      <c r="I99" s="70">
        <f t="shared" si="8"/>
        <v>-0.32700000000000001</v>
      </c>
      <c r="J99" s="70">
        <f t="shared" si="8"/>
        <v>-0.39240000000000003</v>
      </c>
    </row>
    <row r="100" spans="1:13" outlineLevel="1">
      <c r="B100" s="15" t="s">
        <v>121</v>
      </c>
      <c r="C100" s="170">
        <f t="shared" ref="C100:J100" si="9">C97+C99</f>
        <v>0.93410000000000004</v>
      </c>
      <c r="D100" s="170">
        <f t="shared" si="9"/>
        <v>2.1549999999999998</v>
      </c>
      <c r="E100" s="174">
        <f t="shared" si="9"/>
        <v>0.54317808219178099</v>
      </c>
      <c r="F100" s="170">
        <f t="shared" si="9"/>
        <v>2.1869999999999998</v>
      </c>
      <c r="G100" s="170">
        <f t="shared" si="9"/>
        <v>2.734</v>
      </c>
      <c r="H100" s="170">
        <f t="shared" si="9"/>
        <v>3.4889999999999999</v>
      </c>
      <c r="I100" s="170">
        <f t="shared" si="9"/>
        <v>4.4160000000000004</v>
      </c>
      <c r="J100" s="170">
        <f t="shared" si="9"/>
        <v>5.1012000000000004</v>
      </c>
    </row>
    <row r="101" spans="1:13" outlineLevel="1">
      <c r="B101" s="68" t="s">
        <v>122</v>
      </c>
      <c r="C101" s="70"/>
      <c r="D101" s="70"/>
      <c r="E101" s="173">
        <f t="shared" ref="E101:J101" si="10">-E140</f>
        <v>-6.2559901348417005E-2</v>
      </c>
      <c r="F101" s="70">
        <f t="shared" si="10"/>
        <v>-0.239256360078278</v>
      </c>
      <c r="G101" s="70">
        <f t="shared" si="10"/>
        <v>-0.22497064579256401</v>
      </c>
      <c r="H101" s="70">
        <f t="shared" si="10"/>
        <v>-0.210684931506849</v>
      </c>
      <c r="I101" s="70">
        <f t="shared" si="10"/>
        <v>-0.19639921722113499</v>
      </c>
      <c r="J101" s="70">
        <f t="shared" si="10"/>
        <v>-0.182113502935421</v>
      </c>
    </row>
    <row r="102" spans="1:13" outlineLevel="1">
      <c r="B102" s="15" t="s">
        <v>123</v>
      </c>
      <c r="C102" s="170">
        <f>C100</f>
        <v>0.93410000000000004</v>
      </c>
      <c r="D102" s="170">
        <f>D100</f>
        <v>2.1549999999999998</v>
      </c>
      <c r="E102" s="174">
        <f t="shared" ref="E102:J102" si="11">E100+E101</f>
        <v>0.480618180843364</v>
      </c>
      <c r="F102" s="170">
        <f t="shared" si="11"/>
        <v>1.9477436399217201</v>
      </c>
      <c r="G102" s="170">
        <f t="shared" si="11"/>
        <v>2.5090293542074402</v>
      </c>
      <c r="H102" s="170">
        <f t="shared" si="11"/>
        <v>3.2783150684931499</v>
      </c>
      <c r="I102" s="170">
        <f t="shared" si="11"/>
        <v>4.21960078277887</v>
      </c>
      <c r="J102" s="170">
        <f t="shared" si="11"/>
        <v>4.9190864970645798</v>
      </c>
    </row>
    <row r="103" spans="1:13" outlineLevel="1">
      <c r="B103" s="68" t="s">
        <v>124</v>
      </c>
      <c r="C103" s="70">
        <f t="shared" ref="C103:J103" si="12">-MAX(C102,0)*$D$10</f>
        <v>-0.18682000000000001</v>
      </c>
      <c r="D103" s="70">
        <f t="shared" si="12"/>
        <v>-0.43099999999999999</v>
      </c>
      <c r="E103" s="173">
        <f t="shared" si="12"/>
        <v>-9.6123636168672796E-2</v>
      </c>
      <c r="F103" s="70">
        <f t="shared" si="12"/>
        <v>-0.38954872798434398</v>
      </c>
      <c r="G103" s="70">
        <f t="shared" si="12"/>
        <v>-0.50180587084148698</v>
      </c>
      <c r="H103" s="70">
        <f t="shared" si="12"/>
        <v>-0.65566301369863</v>
      </c>
      <c r="I103" s="70">
        <f t="shared" si="12"/>
        <v>-0.84392015655577302</v>
      </c>
      <c r="J103" s="70">
        <f t="shared" si="12"/>
        <v>-0.98381729941291596</v>
      </c>
    </row>
    <row r="104" spans="1:13" outlineLevel="1">
      <c r="B104" s="15" t="s">
        <v>125</v>
      </c>
      <c r="C104" s="170">
        <f t="shared" ref="C104:J104" si="13">C102+C103</f>
        <v>0.74728000000000006</v>
      </c>
      <c r="D104" s="170">
        <f t="shared" si="13"/>
        <v>1.724</v>
      </c>
      <c r="E104" s="174">
        <f t="shared" si="13"/>
        <v>0.38449454467469102</v>
      </c>
      <c r="F104" s="170">
        <f t="shared" si="13"/>
        <v>1.5581949119373799</v>
      </c>
      <c r="G104" s="170">
        <f t="shared" si="13"/>
        <v>2.0072234833659501</v>
      </c>
      <c r="H104" s="170">
        <f t="shared" si="13"/>
        <v>2.62265205479452</v>
      </c>
      <c r="I104" s="170">
        <f t="shared" si="13"/>
        <v>3.3756806262230898</v>
      </c>
      <c r="J104" s="170">
        <f t="shared" si="13"/>
        <v>3.9352691976516598</v>
      </c>
    </row>
    <row r="105" spans="1:13" outlineLevel="1">
      <c r="C105" s="70"/>
      <c r="D105" s="70"/>
      <c r="E105" s="173"/>
      <c r="F105" s="70"/>
      <c r="G105" s="70"/>
      <c r="H105" s="70"/>
      <c r="I105" s="70"/>
      <c r="J105" s="70"/>
    </row>
    <row r="106" spans="1:13" outlineLevel="1">
      <c r="B106" s="13" t="s">
        <v>125</v>
      </c>
      <c r="C106" s="175">
        <f t="shared" ref="C106:J106" si="14">C104</f>
        <v>0.74728000000000006</v>
      </c>
      <c r="D106" s="175">
        <f t="shared" si="14"/>
        <v>1.724</v>
      </c>
      <c r="E106" s="163">
        <f t="shared" si="14"/>
        <v>0.38449454467469102</v>
      </c>
      <c r="F106" s="175">
        <f t="shared" si="14"/>
        <v>1.5581949119373799</v>
      </c>
      <c r="G106" s="175">
        <f t="shared" si="14"/>
        <v>2.0072234833659501</v>
      </c>
      <c r="H106" s="175">
        <f t="shared" si="14"/>
        <v>2.62265205479452</v>
      </c>
      <c r="I106" s="175">
        <f t="shared" si="14"/>
        <v>3.3756806262230898</v>
      </c>
      <c r="J106" s="175">
        <f t="shared" si="14"/>
        <v>3.9352691976516598</v>
      </c>
    </row>
    <row r="107" spans="1:13" outlineLevel="1">
      <c r="B107" s="68" t="s">
        <v>126</v>
      </c>
      <c r="C107" s="70"/>
      <c r="D107" s="70">
        <f t="shared" ref="D107:J107" si="15">-D99</f>
        <v>0.157</v>
      </c>
      <c r="E107" s="173">
        <f t="shared" si="15"/>
        <v>3.9572602739726001E-2</v>
      </c>
      <c r="F107" s="70">
        <f t="shared" si="15"/>
        <v>0.19</v>
      </c>
      <c r="G107" s="70">
        <f t="shared" si="15"/>
        <v>0.22700000000000001</v>
      </c>
      <c r="H107" s="70">
        <f t="shared" si="15"/>
        <v>0.27300000000000002</v>
      </c>
      <c r="I107" s="70">
        <f t="shared" si="15"/>
        <v>0.32700000000000001</v>
      </c>
      <c r="J107" s="70">
        <f t="shared" si="15"/>
        <v>0.39240000000000003</v>
      </c>
    </row>
    <row r="108" spans="1:13" outlineLevel="1">
      <c r="B108" s="68" t="s">
        <v>127</v>
      </c>
      <c r="C108" s="70"/>
      <c r="D108" s="70"/>
      <c r="E108" s="173">
        <f t="shared" ref="E108:J108" si="16">E135</f>
        <v>255849.40432598101</v>
      </c>
      <c r="F108" s="70">
        <f t="shared" si="16"/>
        <v>1040639.64237807</v>
      </c>
      <c r="G108" s="70">
        <f t="shared" si="16"/>
        <v>1144703.60661587</v>
      </c>
      <c r="H108" s="70">
        <f t="shared" si="16"/>
        <v>1259173.96727746</v>
      </c>
      <c r="I108" s="70">
        <f t="shared" si="16"/>
        <v>1385091.3640052101</v>
      </c>
      <c r="J108" s="70">
        <f t="shared" si="16"/>
        <v>1523600.50040573</v>
      </c>
    </row>
    <row r="109" spans="1:13" outlineLevel="1">
      <c r="B109" s="68" t="s">
        <v>128</v>
      </c>
      <c r="C109" s="70"/>
      <c r="D109" s="70">
        <f t="shared" ref="D109:J109" si="17">-D95*$D$11</f>
        <v>-0.157</v>
      </c>
      <c r="E109" s="173">
        <f t="shared" si="17"/>
        <v>-3.9572602739726001E-2</v>
      </c>
      <c r="F109" s="70">
        <f t="shared" si="17"/>
        <v>-0.19</v>
      </c>
      <c r="G109" s="70">
        <f t="shared" si="17"/>
        <v>-0.22700000000000001</v>
      </c>
      <c r="H109" s="70">
        <f t="shared" si="17"/>
        <v>-0.27300000000000002</v>
      </c>
      <c r="I109" s="70">
        <f t="shared" si="17"/>
        <v>-0.32700000000000001</v>
      </c>
      <c r="J109" s="70">
        <f t="shared" si="17"/>
        <v>-0.39240000000000003</v>
      </c>
    </row>
    <row r="110" spans="1:13" outlineLevel="1">
      <c r="B110" s="68" t="s">
        <v>129</v>
      </c>
      <c r="C110" s="70"/>
      <c r="D110" s="70">
        <v>0</v>
      </c>
      <c r="E110" s="173">
        <f>-($M$8)*(D95-C95)*$D$12</f>
        <v>-0.143923287671233</v>
      </c>
      <c r="F110" s="70">
        <f>-(F95-D95)*$D$12</f>
        <v>-0.33</v>
      </c>
      <c r="G110" s="70">
        <f>-(G95-F95)*$D$12</f>
        <v>-0.37</v>
      </c>
      <c r="H110" s="70">
        <f>-(H95-G95)*$D$12</f>
        <v>-0.46</v>
      </c>
      <c r="I110" s="70">
        <f>-(I95-H95)*$D$12</f>
        <v>-0.54</v>
      </c>
      <c r="J110" s="70">
        <f>-(J95-I95)*$D$12</f>
        <v>-0.65400000000000003</v>
      </c>
    </row>
    <row r="111" spans="1:13" outlineLevel="1">
      <c r="B111" s="68" t="s">
        <v>130</v>
      </c>
      <c r="C111" s="70"/>
      <c r="D111" s="70"/>
      <c r="E111" s="173">
        <f>-D70/7*$M$8</f>
        <v>-9.0019569471624303E-2</v>
      </c>
      <c r="F111" s="70">
        <f>-D70/7</f>
        <v>-0.35714285714285698</v>
      </c>
      <c r="G111" s="70">
        <f>-D70/7</f>
        <v>-0.35714285714285698</v>
      </c>
      <c r="H111" s="70">
        <f>-D70/7</f>
        <v>-0.35714285714285698</v>
      </c>
      <c r="I111" s="70">
        <f>-D70/7</f>
        <v>-0.35714285714285698</v>
      </c>
      <c r="J111" s="70">
        <f>-D70/7</f>
        <v>-0.35714285714285698</v>
      </c>
    </row>
    <row r="112" spans="1:13" outlineLevel="1">
      <c r="B112" s="15" t="s">
        <v>131</v>
      </c>
      <c r="C112" s="170"/>
      <c r="D112" s="170">
        <f>D106+D107+D109+D110</f>
        <v>1.724</v>
      </c>
      <c r="E112" s="174">
        <f t="shared" ref="E112:J112" si="18">E106+E107+E108+E109+E110+E111</f>
        <v>255849.554877669</v>
      </c>
      <c r="F112" s="170">
        <f t="shared" si="18"/>
        <v>1040640.51343012</v>
      </c>
      <c r="G112" s="170">
        <f t="shared" si="18"/>
        <v>1144704.8866965</v>
      </c>
      <c r="H112" s="170">
        <f t="shared" si="18"/>
        <v>1259175.7727866599</v>
      </c>
      <c r="I112" s="170">
        <f t="shared" si="18"/>
        <v>1385093.8425429801</v>
      </c>
      <c r="J112" s="170">
        <f t="shared" si="18"/>
        <v>1523603.4245320701</v>
      </c>
    </row>
    <row r="113" spans="1:10" outlineLevel="1">
      <c r="B113" s="68" t="s">
        <v>132</v>
      </c>
      <c r="C113" s="70"/>
      <c r="D113" s="70">
        <v>0</v>
      </c>
      <c r="E113" s="173">
        <f t="shared" ref="E113:J113" si="19">D114</f>
        <v>1.724</v>
      </c>
      <c r="F113" s="70">
        <f t="shared" si="19"/>
        <v>255851.27887766901</v>
      </c>
      <c r="G113" s="70">
        <f t="shared" si="19"/>
        <v>1296491.7923077899</v>
      </c>
      <c r="H113" s="70">
        <f t="shared" si="19"/>
        <v>2441196.6790042901</v>
      </c>
      <c r="I113" s="70">
        <f t="shared" si="19"/>
        <v>3700372.4517909498</v>
      </c>
      <c r="J113" s="70">
        <f t="shared" si="19"/>
        <v>5085466.2943339199</v>
      </c>
    </row>
    <row r="114" spans="1:10" outlineLevel="1">
      <c r="B114" s="15" t="s">
        <v>133</v>
      </c>
      <c r="C114" s="170"/>
      <c r="D114" s="170">
        <f t="shared" ref="D114:J114" si="20">D113+D112</f>
        <v>1.724</v>
      </c>
      <c r="E114" s="174">
        <f t="shared" si="20"/>
        <v>255851.27887766901</v>
      </c>
      <c r="F114" s="170">
        <f t="shared" si="20"/>
        <v>1296491.7923077899</v>
      </c>
      <c r="G114" s="170">
        <f t="shared" si="20"/>
        <v>2441196.6790042901</v>
      </c>
      <c r="H114" s="170">
        <f t="shared" si="20"/>
        <v>3700372.4517909498</v>
      </c>
      <c r="I114" s="170">
        <f t="shared" si="20"/>
        <v>5085466.2943339199</v>
      </c>
      <c r="J114" s="170">
        <f t="shared" si="20"/>
        <v>6609069.7188659897</v>
      </c>
    </row>
    <row r="115" spans="1:10" ht="3.9" customHeight="1">
      <c r="C115" s="70"/>
      <c r="D115" s="70"/>
      <c r="E115" s="70"/>
      <c r="F115" s="70"/>
      <c r="G115" s="70"/>
      <c r="H115" s="70"/>
    </row>
    <row r="116" spans="1:10" s="32" customFormat="1">
      <c r="A116" s="90" t="s">
        <v>33</v>
      </c>
      <c r="B116" s="1" t="s">
        <v>134</v>
      </c>
    </row>
    <row r="117" spans="1:10" outlineLevel="1"/>
    <row r="118" spans="1:10" outlineLevel="1">
      <c r="B118" s="58"/>
      <c r="C118" s="58"/>
      <c r="D118" s="176" t="s">
        <v>135</v>
      </c>
      <c r="E118" s="58" t="s">
        <v>117</v>
      </c>
      <c r="F118" s="60">
        <v>46387</v>
      </c>
      <c r="G118" s="60">
        <v>46752</v>
      </c>
      <c r="H118" s="60">
        <v>47118</v>
      </c>
      <c r="I118" s="60">
        <v>47483</v>
      </c>
      <c r="J118" s="60">
        <v>47848</v>
      </c>
    </row>
    <row r="119" spans="1:10" outlineLevel="1">
      <c r="D119" s="61"/>
    </row>
    <row r="120" spans="1:10" outlineLevel="1">
      <c r="B120" s="13" t="s">
        <v>102</v>
      </c>
      <c r="D120" s="61"/>
    </row>
    <row r="121" spans="1:10" outlineLevel="1">
      <c r="B121" s="177" t="s">
        <v>136</v>
      </c>
      <c r="C121" s="178"/>
      <c r="D121" s="179"/>
      <c r="E121" s="180">
        <f t="shared" ref="E121:J121" si="21">D123</f>
        <v>2.5</v>
      </c>
      <c r="F121" s="180">
        <f t="shared" si="21"/>
        <v>2.4099804305283801</v>
      </c>
      <c r="G121" s="180">
        <f t="shared" si="21"/>
        <v>2.0528375733855202</v>
      </c>
      <c r="H121" s="180">
        <f t="shared" si="21"/>
        <v>1.6956947162426601</v>
      </c>
      <c r="I121" s="180">
        <f t="shared" si="21"/>
        <v>1.3385518590998</v>
      </c>
      <c r="J121" s="180">
        <f t="shared" si="21"/>
        <v>0.98140900195694702</v>
      </c>
    </row>
    <row r="122" spans="1:10" outlineLevel="1">
      <c r="B122" s="68" t="s">
        <v>137</v>
      </c>
      <c r="C122" s="70"/>
      <c r="D122" s="69">
        <f>D70</f>
        <v>2.5</v>
      </c>
      <c r="E122" s="70">
        <f>-D70/7*$M$8</f>
        <v>-9.0019569471624303E-2</v>
      </c>
      <c r="F122" s="70">
        <f>-D70/7</f>
        <v>-0.35714285714285698</v>
      </c>
      <c r="G122" s="70">
        <f>-D70/7</f>
        <v>-0.35714285714285698</v>
      </c>
      <c r="H122" s="70">
        <f>-D70/7</f>
        <v>-0.35714285714285698</v>
      </c>
      <c r="I122" s="70">
        <f>-D70/7</f>
        <v>-0.35714285714285698</v>
      </c>
      <c r="J122" s="70">
        <f>-D70/7</f>
        <v>-0.35714285714285698</v>
      </c>
    </row>
    <row r="123" spans="1:10" outlineLevel="1">
      <c r="B123" s="181" t="s">
        <v>138</v>
      </c>
      <c r="C123" s="170"/>
      <c r="D123" s="182">
        <f>D122</f>
        <v>2.5</v>
      </c>
      <c r="E123" s="183">
        <f t="shared" ref="E123:J123" si="22">E121+E122</f>
        <v>2.4099804305283801</v>
      </c>
      <c r="F123" s="183">
        <f t="shared" si="22"/>
        <v>2.0528375733855202</v>
      </c>
      <c r="G123" s="183">
        <f t="shared" si="22"/>
        <v>1.6956947162426601</v>
      </c>
      <c r="H123" s="183">
        <f t="shared" si="22"/>
        <v>1.3385518590998</v>
      </c>
      <c r="I123" s="183">
        <f t="shared" si="22"/>
        <v>0.98140900195694702</v>
      </c>
      <c r="J123" s="183">
        <f t="shared" si="22"/>
        <v>0.62426614481409004</v>
      </c>
    </row>
    <row r="124" spans="1:10" outlineLevel="1">
      <c r="B124" s="68" t="s">
        <v>139</v>
      </c>
      <c r="C124" s="70"/>
      <c r="D124" s="69"/>
      <c r="E124" s="113">
        <f>(E121+E123)/2*$H$15*$M$8</f>
        <v>2.4751682170334799E-2</v>
      </c>
      <c r="F124" s="113">
        <f>(F121+F123)/2*$H$15</f>
        <v>8.9256360078277905E-2</v>
      </c>
      <c r="G124" s="113">
        <f>(G121+G123)/2*$H$15</f>
        <v>7.4970645792563601E-2</v>
      </c>
      <c r="H124" s="113">
        <f>(H121+H123)/2*$H$15</f>
        <v>6.0684931506849303E-2</v>
      </c>
      <c r="I124" s="113">
        <f>(I121+I123)/2*$H$15</f>
        <v>4.6399217221134999E-2</v>
      </c>
      <c r="J124" s="113">
        <f>(J121+J123)/2*$H$15</f>
        <v>3.2113502935420701E-2</v>
      </c>
    </row>
    <row r="125" spans="1:10" outlineLevel="1">
      <c r="D125" s="61"/>
    </row>
    <row r="126" spans="1:10" outlineLevel="1">
      <c r="B126" s="13" t="s">
        <v>103</v>
      </c>
      <c r="D126" s="61"/>
    </row>
    <row r="127" spans="1:10" outlineLevel="1">
      <c r="B127" s="177" t="s">
        <v>136</v>
      </c>
      <c r="C127" s="178"/>
      <c r="D127" s="179"/>
      <c r="E127" s="178">
        <f t="shared" ref="E127:J127" si="23">D129</f>
        <v>2.5</v>
      </c>
      <c r="F127" s="178">
        <f t="shared" si="23"/>
        <v>2.5</v>
      </c>
      <c r="G127" s="178">
        <f t="shared" si="23"/>
        <v>2.5</v>
      </c>
      <c r="H127" s="178">
        <f t="shared" si="23"/>
        <v>2.5</v>
      </c>
      <c r="I127" s="178">
        <f t="shared" si="23"/>
        <v>2.5</v>
      </c>
      <c r="J127" s="178">
        <f t="shared" si="23"/>
        <v>2.5</v>
      </c>
    </row>
    <row r="128" spans="1:10" outlineLevel="1">
      <c r="B128" s="68" t="s">
        <v>137</v>
      </c>
      <c r="C128" s="70"/>
      <c r="D128" s="69">
        <f>D71</f>
        <v>2.5</v>
      </c>
      <c r="E128" s="112">
        <v>0</v>
      </c>
      <c r="F128" s="112">
        <v>0</v>
      </c>
      <c r="G128" s="112">
        <v>0</v>
      </c>
      <c r="H128" s="112">
        <v>0</v>
      </c>
      <c r="I128" s="112">
        <v>0</v>
      </c>
      <c r="J128" s="112">
        <v>0</v>
      </c>
    </row>
    <row r="129" spans="1:10" outlineLevel="1">
      <c r="B129" s="181" t="s">
        <v>138</v>
      </c>
      <c r="C129" s="170"/>
      <c r="D129" s="182">
        <f>D128</f>
        <v>2.5</v>
      </c>
      <c r="E129" s="170">
        <f t="shared" ref="E129:J129" si="24">E127+E128</f>
        <v>2.5</v>
      </c>
      <c r="F129" s="170">
        <f t="shared" si="24"/>
        <v>2.5</v>
      </c>
      <c r="G129" s="170">
        <f t="shared" si="24"/>
        <v>2.5</v>
      </c>
      <c r="H129" s="170">
        <f t="shared" si="24"/>
        <v>2.5</v>
      </c>
      <c r="I129" s="170">
        <f t="shared" si="24"/>
        <v>2.5</v>
      </c>
      <c r="J129" s="170">
        <f t="shared" si="24"/>
        <v>2.5</v>
      </c>
    </row>
    <row r="130" spans="1:10" outlineLevel="1">
      <c r="B130" s="68" t="s">
        <v>139</v>
      </c>
      <c r="D130" s="61"/>
      <c r="E130" s="70">
        <f>(E127+E129)/2*$H$16*$M$8</f>
        <v>3.7808219178082199E-2</v>
      </c>
      <c r="F130" s="70">
        <f>(F127+F129)/2*$H$16</f>
        <v>0.15</v>
      </c>
      <c r="G130" s="70">
        <f>(G127+G129)/2*$H$16</f>
        <v>0.15</v>
      </c>
      <c r="H130" s="70">
        <f>(H127+H129)/2*$H$16</f>
        <v>0.15</v>
      </c>
      <c r="I130" s="70">
        <f>(I127+I129)/2*$H$16</f>
        <v>0.15</v>
      </c>
      <c r="J130" s="70">
        <f>(J127+J129)/2*$H$16</f>
        <v>0.15</v>
      </c>
    </row>
    <row r="131" spans="1:10" outlineLevel="1">
      <c r="D131" s="61"/>
    </row>
    <row r="132" spans="1:10" outlineLevel="1">
      <c r="B132" s="13" t="s">
        <v>105</v>
      </c>
      <c r="D132" s="61"/>
    </row>
    <row r="133" spans="1:10" outlineLevel="1">
      <c r="B133" s="177" t="s">
        <v>136</v>
      </c>
      <c r="C133" s="178"/>
      <c r="D133" s="179">
        <f>M50</f>
        <v>9900987.8730650991</v>
      </c>
      <c r="E133" s="178">
        <f t="shared" ref="E133:J133" si="25">D136</f>
        <v>10150547.019454701</v>
      </c>
      <c r="F133" s="178">
        <f t="shared" si="25"/>
        <v>10406396.4237807</v>
      </c>
      <c r="G133" s="178">
        <f t="shared" si="25"/>
        <v>11447036.066158701</v>
      </c>
      <c r="H133" s="178">
        <f t="shared" si="25"/>
        <v>12591739.6727746</v>
      </c>
      <c r="I133" s="178">
        <f t="shared" si="25"/>
        <v>13850913.640052101</v>
      </c>
      <c r="J133" s="178">
        <f t="shared" si="25"/>
        <v>15236005.004057299</v>
      </c>
    </row>
    <row r="134" spans="1:10" outlineLevel="1">
      <c r="B134" s="68" t="s">
        <v>137</v>
      </c>
      <c r="C134" s="70"/>
      <c r="D134" s="69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</row>
    <row r="135" spans="1:10" outlineLevel="1">
      <c r="B135" s="68" t="s">
        <v>140</v>
      </c>
      <c r="C135" s="112"/>
      <c r="D135" s="184">
        <f>D133*$D$25*$M$8</f>
        <v>249559.14638958601</v>
      </c>
      <c r="E135" s="185">
        <f>E133*$D$25*$M$8</f>
        <v>255849.40432598101</v>
      </c>
      <c r="F135" s="185">
        <f>F133*$D$25</f>
        <v>1040639.64237807</v>
      </c>
      <c r="G135" s="185">
        <f>G133*$D$25</f>
        <v>1144703.60661587</v>
      </c>
      <c r="H135" s="185">
        <f>H133*$D$25</f>
        <v>1259173.96727746</v>
      </c>
      <c r="I135" s="185">
        <f>I133*$D$25</f>
        <v>1385091.3640052101</v>
      </c>
      <c r="J135" s="185">
        <f>J133*$D$25</f>
        <v>1523600.50040573</v>
      </c>
    </row>
    <row r="136" spans="1:10" outlineLevel="1">
      <c r="B136" s="181" t="s">
        <v>138</v>
      </c>
      <c r="C136" s="170"/>
      <c r="D136" s="182">
        <f t="shared" ref="D136:J136" si="26">D133+D134+D135</f>
        <v>10150547.019454701</v>
      </c>
      <c r="E136" s="170">
        <f t="shared" si="26"/>
        <v>10406396.4237807</v>
      </c>
      <c r="F136" s="170">
        <f t="shared" si="26"/>
        <v>11447036.066158701</v>
      </c>
      <c r="G136" s="170">
        <f t="shared" si="26"/>
        <v>12591739.6727746</v>
      </c>
      <c r="H136" s="170">
        <f t="shared" si="26"/>
        <v>13850913.640052101</v>
      </c>
      <c r="I136" s="170">
        <f t="shared" si="26"/>
        <v>15236005.004057299</v>
      </c>
      <c r="J136" s="170">
        <f t="shared" si="26"/>
        <v>16759605.504463</v>
      </c>
    </row>
    <row r="137" spans="1:10" ht="14.25" customHeight="1" outlineLevel="1">
      <c r="B137" s="13"/>
      <c r="C137" s="70"/>
      <c r="D137" s="70"/>
      <c r="E137" s="70"/>
      <c r="F137" s="70"/>
      <c r="G137" s="70"/>
      <c r="H137" s="70"/>
    </row>
    <row r="138" spans="1:10" outlineLevel="1">
      <c r="B138" s="58"/>
      <c r="C138" s="58"/>
      <c r="D138" s="58" t="s">
        <v>135</v>
      </c>
      <c r="E138" s="58" t="s">
        <v>117</v>
      </c>
      <c r="F138" s="60">
        <v>46387</v>
      </c>
      <c r="G138" s="60">
        <v>46752</v>
      </c>
      <c r="H138" s="60">
        <v>47118</v>
      </c>
      <c r="I138" s="60">
        <v>47483</v>
      </c>
      <c r="J138" s="60">
        <v>47848</v>
      </c>
    </row>
    <row r="139" spans="1:10" outlineLevel="1">
      <c r="B139" s="186"/>
      <c r="C139" s="186"/>
      <c r="D139" s="186"/>
      <c r="E139" s="186"/>
      <c r="F139" s="187"/>
      <c r="G139" s="187"/>
      <c r="H139" s="187"/>
      <c r="I139" s="187"/>
      <c r="J139" s="187"/>
    </row>
    <row r="140" spans="1:10" outlineLevel="1">
      <c r="B140" s="68" t="s">
        <v>141</v>
      </c>
      <c r="C140" s="70"/>
      <c r="D140" s="70">
        <v>0</v>
      </c>
      <c r="E140" s="70">
        <f t="shared" ref="E140:J140" si="27">E124+E130</f>
        <v>6.2559901348417005E-2</v>
      </c>
      <c r="F140" s="70">
        <f t="shared" si="27"/>
        <v>0.239256360078278</v>
      </c>
      <c r="G140" s="70">
        <f t="shared" si="27"/>
        <v>0.22497064579256401</v>
      </c>
      <c r="H140" s="70">
        <f t="shared" si="27"/>
        <v>0.210684931506849</v>
      </c>
      <c r="I140" s="70">
        <f t="shared" si="27"/>
        <v>0.19639921722113499</v>
      </c>
      <c r="J140" s="70">
        <f t="shared" si="27"/>
        <v>0.182113502935421</v>
      </c>
    </row>
    <row r="141" spans="1:10" outlineLevel="1">
      <c r="B141" s="68" t="s">
        <v>142</v>
      </c>
      <c r="C141" s="70"/>
      <c r="D141" s="70">
        <f t="shared" ref="D141:J141" si="28">D123+D129+D136/1000000</f>
        <v>15.150547019454701</v>
      </c>
      <c r="E141" s="70">
        <f t="shared" si="28"/>
        <v>15.316376854309</v>
      </c>
      <c r="F141" s="70">
        <f t="shared" si="28"/>
        <v>15.9998736395442</v>
      </c>
      <c r="G141" s="70">
        <f t="shared" si="28"/>
        <v>16.787434389017299</v>
      </c>
      <c r="H141" s="70">
        <f t="shared" si="28"/>
        <v>17.6894654991519</v>
      </c>
      <c r="I141" s="70">
        <f t="shared" si="28"/>
        <v>18.717414006014199</v>
      </c>
      <c r="J141" s="70">
        <f t="shared" si="28"/>
        <v>19.883871649277101</v>
      </c>
    </row>
    <row r="142" spans="1:10" ht="3.9" customHeight="1"/>
    <row r="143" spans="1:10" s="32" customFormat="1">
      <c r="A143" s="90" t="s">
        <v>33</v>
      </c>
      <c r="B143" s="1" t="s">
        <v>143</v>
      </c>
    </row>
    <row r="144" spans="1:10" outlineLevel="1"/>
    <row r="145" spans="1:10" outlineLevel="1">
      <c r="B145" s="58"/>
      <c r="C145" s="58"/>
      <c r="D145" s="176">
        <v>45930</v>
      </c>
      <c r="E145" s="60">
        <v>46387</v>
      </c>
      <c r="F145" s="60">
        <v>46752</v>
      </c>
      <c r="G145" s="60">
        <v>47118</v>
      </c>
      <c r="H145" s="60">
        <v>47483</v>
      </c>
      <c r="I145" s="60">
        <v>47848</v>
      </c>
    </row>
    <row r="146" spans="1:10" outlineLevel="1">
      <c r="D146" s="61"/>
    </row>
    <row r="147" spans="1:10" outlineLevel="1">
      <c r="B147" s="4" t="s">
        <v>6</v>
      </c>
      <c r="C147" s="51"/>
      <c r="D147" s="61"/>
      <c r="E147" s="51">
        <f>F97</f>
        <v>2.3769999999999998</v>
      </c>
      <c r="F147" s="51">
        <f>G97</f>
        <v>2.9609999999999999</v>
      </c>
      <c r="G147" s="51">
        <f>H97</f>
        <v>3.762</v>
      </c>
      <c r="H147" s="51">
        <f>I97</f>
        <v>4.7430000000000003</v>
      </c>
      <c r="I147" s="51">
        <f>J97</f>
        <v>5.4935999999999998</v>
      </c>
    </row>
    <row r="148" spans="1:10" outlineLevel="1">
      <c r="B148" s="4" t="s">
        <v>144</v>
      </c>
      <c r="D148" s="61"/>
      <c r="E148" s="10">
        <f>$H$8</f>
        <v>8.2179930795847795</v>
      </c>
      <c r="F148" s="10">
        <f>$H$8</f>
        <v>8.2179930795847795</v>
      </c>
      <c r="G148" s="10">
        <f>$H$8</f>
        <v>8.2179930795847795</v>
      </c>
      <c r="H148" s="10">
        <f>$H$8</f>
        <v>8.2179930795847795</v>
      </c>
      <c r="I148" s="10">
        <f>$H$8</f>
        <v>8.2179930795847795</v>
      </c>
    </row>
    <row r="149" spans="1:10" outlineLevel="1">
      <c r="B149" s="15" t="s">
        <v>145</v>
      </c>
      <c r="C149" s="15"/>
      <c r="D149" s="79"/>
      <c r="E149" s="67">
        <f>E147*E148</f>
        <v>19.534169550173001</v>
      </c>
      <c r="F149" s="67">
        <f>F147*F148</f>
        <v>24.3334775086505</v>
      </c>
      <c r="G149" s="67">
        <f>G147*G148</f>
        <v>30.916089965397902</v>
      </c>
      <c r="H149" s="67">
        <f>H147*H148</f>
        <v>38.977941176470601</v>
      </c>
      <c r="I149" s="67">
        <f>I147*I148</f>
        <v>45.146366782006901</v>
      </c>
    </row>
    <row r="150" spans="1:10" outlineLevel="1">
      <c r="B150" s="68" t="s">
        <v>146</v>
      </c>
      <c r="D150" s="61"/>
      <c r="E150" s="70">
        <f>F114</f>
        <v>1296491.7923077899</v>
      </c>
      <c r="F150" s="70">
        <f>G114</f>
        <v>2441196.6790042901</v>
      </c>
      <c r="G150" s="70">
        <f>H114</f>
        <v>3700372.4517909498</v>
      </c>
      <c r="H150" s="70">
        <f>I114</f>
        <v>5085466.2943339199</v>
      </c>
      <c r="I150" s="70">
        <f>J114</f>
        <v>6609069.7188659897</v>
      </c>
    </row>
    <row r="151" spans="1:10" outlineLevel="1">
      <c r="B151" s="68" t="s">
        <v>147</v>
      </c>
      <c r="D151" s="61"/>
      <c r="E151" s="70">
        <f>-(F123+F129)</f>
        <v>-4.5528375733855198</v>
      </c>
      <c r="F151" s="70">
        <f>-(G123+G129)</f>
        <v>-4.1956947162426603</v>
      </c>
      <c r="G151" s="70">
        <f>-(H123+H129)</f>
        <v>-3.8385518590998</v>
      </c>
      <c r="H151" s="70">
        <f>-(I123+I129)</f>
        <v>-3.4814090019569499</v>
      </c>
      <c r="I151" s="70">
        <f>-(J123+J129)</f>
        <v>-3.12426614481409</v>
      </c>
    </row>
    <row r="152" spans="1:10" outlineLevel="1">
      <c r="B152" s="68" t="s">
        <v>148</v>
      </c>
      <c r="D152" s="61"/>
      <c r="E152" s="70">
        <f>-F136/1000000</f>
        <v>-11.447036066158701</v>
      </c>
      <c r="F152" s="70">
        <f>-G136/1000000</f>
        <v>-12.591739672774599</v>
      </c>
      <c r="G152" s="70">
        <f>-H136/1000000</f>
        <v>-13.8509136400521</v>
      </c>
      <c r="H152" s="70">
        <f>-I136/1000000</f>
        <v>-15.236005004057301</v>
      </c>
      <c r="I152" s="70">
        <f>-J136/1000000</f>
        <v>-16.759605504463</v>
      </c>
    </row>
    <row r="153" spans="1:10" outlineLevel="1">
      <c r="B153" s="15" t="s">
        <v>149</v>
      </c>
      <c r="C153" s="15"/>
      <c r="D153" s="79"/>
      <c r="E153" s="67">
        <f>E149+E150+E151+E152</f>
        <v>1296495.3266036999</v>
      </c>
      <c r="F153" s="67">
        <f>F149+F150+F151+F152</f>
        <v>2441204.22504741</v>
      </c>
      <c r="G153" s="67">
        <f>G149+G150+G151+G152</f>
        <v>3700385.6784154102</v>
      </c>
      <c r="H153" s="67">
        <f>H149+H150+H151+H152</f>
        <v>5085486.5548610901</v>
      </c>
      <c r="I153" s="67">
        <f>I149+I150+I151+I152</f>
        <v>6609094.98136112</v>
      </c>
    </row>
    <row r="154" spans="1:10" outlineLevel="1">
      <c r="B154" s="68" t="s">
        <v>150</v>
      </c>
      <c r="D154" s="61"/>
      <c r="E154" s="101">
        <f>F55+F56+F57+F61</f>
        <v>0.34515612395301998</v>
      </c>
      <c r="F154" s="101">
        <f>F55+F56+F57+F61</f>
        <v>0.34515612395301998</v>
      </c>
      <c r="G154" s="101">
        <f>F55+F56+F57+F61</f>
        <v>0.34515612395301998</v>
      </c>
      <c r="H154" s="101">
        <f>F55+F56+F57+F61</f>
        <v>0.34515612395301998</v>
      </c>
      <c r="I154" s="101">
        <f>F55+F56+F57+F61</f>
        <v>0.34515612395301998</v>
      </c>
    </row>
    <row r="155" spans="1:10" outlineLevel="1">
      <c r="B155" s="68" t="s">
        <v>151</v>
      </c>
      <c r="D155" s="61"/>
      <c r="E155" s="101">
        <f>F58+F59</f>
        <v>3.2931639797005299E-3</v>
      </c>
      <c r="F155" s="101">
        <f>F58+F59</f>
        <v>3.2931639797005299E-3</v>
      </c>
      <c r="G155" s="101">
        <f>F58+F59</f>
        <v>3.2931639797005299E-3</v>
      </c>
      <c r="H155" s="101">
        <f>F58+F59</f>
        <v>3.2931639797005299E-3</v>
      </c>
      <c r="I155" s="101">
        <f>F58+F59</f>
        <v>3.2931639797005299E-3</v>
      </c>
    </row>
    <row r="156" spans="1:10" outlineLevel="1">
      <c r="B156" s="68" t="s">
        <v>152</v>
      </c>
      <c r="D156" s="61"/>
      <c r="E156" s="101">
        <f>F60</f>
        <v>0.65155071206727999</v>
      </c>
      <c r="F156" s="101">
        <f>F60</f>
        <v>0.65155071206727999</v>
      </c>
      <c r="G156" s="101">
        <f>F60</f>
        <v>0.65155071206727999</v>
      </c>
      <c r="H156" s="101">
        <f>F60</f>
        <v>0.65155071206727999</v>
      </c>
      <c r="I156" s="101">
        <f>F60</f>
        <v>0.65155071206727999</v>
      </c>
    </row>
    <row r="157" spans="1:10" s="33" customFormat="1" outlineLevel="1">
      <c r="A157" s="52"/>
      <c r="B157" s="188" t="s">
        <v>153</v>
      </c>
      <c r="C157" s="188"/>
      <c r="D157" s="189"/>
      <c r="E157" s="190">
        <f>E153*E154</f>
        <v>447493.30165373802</v>
      </c>
      <c r="F157" s="190">
        <f>F153*F154</f>
        <v>842596.58809509897</v>
      </c>
      <c r="G157" s="190">
        <f>G153*G154</f>
        <v>1277210.77789313</v>
      </c>
      <c r="H157" s="190">
        <f>H153*H154</f>
        <v>1755286.82769105</v>
      </c>
      <c r="I157" s="190">
        <f>I153*I154</f>
        <v>2281169.60660396</v>
      </c>
      <c r="J157" s="33" t="s">
        <v>154</v>
      </c>
    </row>
    <row r="158" spans="1:10" s="33" customFormat="1" outlineLevel="1">
      <c r="A158" s="52"/>
      <c r="B158" s="188" t="s">
        <v>90</v>
      </c>
      <c r="C158" s="188"/>
      <c r="D158" s="189"/>
      <c r="E158" s="190">
        <f>E153*E156</f>
        <v>844732.45324054197</v>
      </c>
      <c r="F158" s="190">
        <f>F153*F156</f>
        <v>1590568.35113129</v>
      </c>
      <c r="G158" s="190">
        <f>G153*G156</f>
        <v>2410988.9236951298</v>
      </c>
      <c r="H158" s="190">
        <f>H153*H156</f>
        <v>3313452.3860283201</v>
      </c>
      <c r="I158" s="190">
        <f>I153*I156</f>
        <v>4306160.5412261197</v>
      </c>
    </row>
    <row r="159" spans="1:10" s="33" customFormat="1" outlineLevel="1">
      <c r="A159" s="52"/>
      <c r="B159" s="188" t="s">
        <v>155</v>
      </c>
      <c r="C159" s="188"/>
      <c r="D159" s="189"/>
      <c r="E159" s="190">
        <f>E153*E155</f>
        <v>4269.5717094213796</v>
      </c>
      <c r="F159" s="190">
        <f>F153*F155</f>
        <v>8039.2858210188697</v>
      </c>
      <c r="G159" s="190">
        <f>G153*G155</f>
        <v>12185.976827157299</v>
      </c>
      <c r="H159" s="190">
        <f>H153*H155</f>
        <v>16747.341141719899</v>
      </c>
      <c r="I159" s="190">
        <f>I153*I155</f>
        <v>21764.833531037999</v>
      </c>
    </row>
    <row r="160" spans="1:10" outlineLevel="1">
      <c r="D160" s="61"/>
      <c r="E160" s="191"/>
      <c r="F160" s="191"/>
      <c r="G160" s="191"/>
      <c r="H160" s="191"/>
      <c r="I160" s="191"/>
    </row>
    <row r="161" spans="2:9" outlineLevel="1">
      <c r="B161" s="15" t="s">
        <v>156</v>
      </c>
      <c r="C161" s="15"/>
      <c r="D161" s="192"/>
      <c r="E161" s="193"/>
      <c r="F161" s="193"/>
      <c r="G161" s="193"/>
      <c r="H161" s="193"/>
      <c r="I161" s="193"/>
    </row>
    <row r="162" spans="2:9" outlineLevel="1">
      <c r="B162" s="68" t="s">
        <v>157</v>
      </c>
      <c r="D162" s="194"/>
      <c r="E162" s="191">
        <f>E157</f>
        <v>447493.30165373802</v>
      </c>
      <c r="F162" s="191">
        <f>F157</f>
        <v>842596.58809509897</v>
      </c>
      <c r="G162" s="191">
        <f>G157</f>
        <v>1277210.77789313</v>
      </c>
      <c r="H162" s="191">
        <f>H157</f>
        <v>1755286.82769105</v>
      </c>
      <c r="I162" s="191">
        <f>I157</f>
        <v>2281169.60660396</v>
      </c>
    </row>
    <row r="163" spans="2:9" outlineLevel="1">
      <c r="B163" s="68" t="s">
        <v>105</v>
      </c>
      <c r="D163" s="195"/>
      <c r="E163" s="191">
        <f>SUM(M37:M39)/M50*E136</f>
        <v>1320309.7973407099</v>
      </c>
      <c r="F163" s="191">
        <f>SUM(M37:M39)/M50*F136</f>
        <v>1452340.7770747801</v>
      </c>
      <c r="G163" s="191">
        <f>SUM(M37:M39)/M50*G136</f>
        <v>1597574.85478226</v>
      </c>
      <c r="H163" s="191">
        <f>SUM(M37:M39)/M50*H136</f>
        <v>1757332.3402604901</v>
      </c>
      <c r="I163" s="191">
        <f>SUM(M37:M39)/M50*I136</f>
        <v>1933065.57428654</v>
      </c>
    </row>
    <row r="164" spans="2:9" outlineLevel="1">
      <c r="B164" s="11" t="s">
        <v>158</v>
      </c>
      <c r="C164" s="11"/>
      <c r="D164" s="192"/>
      <c r="E164" s="196">
        <f>E162+E163</f>
        <v>1767803.0989944499</v>
      </c>
      <c r="F164" s="196">
        <f>F162+F163</f>
        <v>2294937.36516988</v>
      </c>
      <c r="G164" s="196">
        <f>G162+G163</f>
        <v>2874785.6326753902</v>
      </c>
      <c r="H164" s="196">
        <f>H162+H163</f>
        <v>3512619.1679515401</v>
      </c>
      <c r="I164" s="196">
        <f>I162+I163</f>
        <v>4214235.1808904903</v>
      </c>
    </row>
    <row r="165" spans="2:9" outlineLevel="1">
      <c r="D165" s="61"/>
    </row>
    <row r="166" spans="2:9" ht="11.25" customHeight="1" outlineLevel="1">
      <c r="B166" s="4" t="s">
        <v>159</v>
      </c>
      <c r="D166" s="69">
        <f>-(SUM(I37:I39))</f>
        <v>-1395762.41378774</v>
      </c>
      <c r="E166" s="70">
        <f>E164</f>
        <v>1767803.0989944499</v>
      </c>
      <c r="F166" s="112">
        <v>0</v>
      </c>
      <c r="G166" s="112">
        <v>0</v>
      </c>
      <c r="H166" s="112">
        <v>0</v>
      </c>
      <c r="I166" s="112">
        <v>0</v>
      </c>
    </row>
    <row r="167" spans="2:9" outlineLevel="1">
      <c r="B167" s="4" t="s">
        <v>160</v>
      </c>
      <c r="D167" s="69">
        <f>-(SUM(I37:I39))</f>
        <v>-1395762.41378774</v>
      </c>
      <c r="E167" s="112">
        <v>0</v>
      </c>
      <c r="F167" s="70">
        <f>F164</f>
        <v>2294937.36516988</v>
      </c>
      <c r="G167" s="112">
        <v>0</v>
      </c>
      <c r="H167" s="112">
        <v>0</v>
      </c>
      <c r="I167" s="112">
        <v>0</v>
      </c>
    </row>
    <row r="168" spans="2:9" outlineLevel="1">
      <c r="B168" s="4" t="s">
        <v>161</v>
      </c>
      <c r="D168" s="69">
        <f>-(SUM(I37:I39))</f>
        <v>-1395762.41378774</v>
      </c>
      <c r="E168" s="112">
        <v>0</v>
      </c>
      <c r="F168" s="112">
        <v>0</v>
      </c>
      <c r="G168" s="70">
        <f>G164</f>
        <v>2874785.6326753902</v>
      </c>
      <c r="H168" s="112">
        <v>0</v>
      </c>
      <c r="I168" s="112">
        <v>0</v>
      </c>
    </row>
    <row r="169" spans="2:9" outlineLevel="1">
      <c r="B169" s="4" t="s">
        <v>162</v>
      </c>
      <c r="D169" s="69">
        <f>-(SUM(I37:I39))</f>
        <v>-1395762.41378774</v>
      </c>
      <c r="E169" s="112">
        <v>0</v>
      </c>
      <c r="F169" s="112">
        <v>0</v>
      </c>
      <c r="G169" s="112">
        <v>0</v>
      </c>
      <c r="H169" s="70">
        <f>H164</f>
        <v>3512619.1679515401</v>
      </c>
      <c r="I169" s="70">
        <v>0</v>
      </c>
    </row>
    <row r="170" spans="2:9" outlineLevel="1">
      <c r="B170" s="4" t="s">
        <v>163</v>
      </c>
      <c r="D170" s="69">
        <f>-(SUM(I37:I39))</f>
        <v>-1395762.41378774</v>
      </c>
      <c r="E170" s="112">
        <v>0</v>
      </c>
      <c r="F170" s="112">
        <v>0</v>
      </c>
      <c r="G170" s="112">
        <v>0</v>
      </c>
      <c r="H170" s="112">
        <v>0</v>
      </c>
      <c r="I170" s="70">
        <f>I164</f>
        <v>4214235.1808904903</v>
      </c>
    </row>
    <row r="171" spans="2:9" outlineLevel="1">
      <c r="D171" s="61"/>
    </row>
    <row r="172" spans="2:9" outlineLevel="1">
      <c r="B172" s="197" t="s">
        <v>164</v>
      </c>
      <c r="C172" s="197"/>
      <c r="D172" s="198"/>
      <c r="E172" s="199">
        <f>XIRR(D166:I166,$D$145:$I$145)</f>
        <v>0.207711437964782</v>
      </c>
      <c r="F172" s="199">
        <f>XIRR(D167:I167,$D$145:$I$145)</f>
        <v>0.247080111698643</v>
      </c>
      <c r="G172" s="199">
        <f>XIRR(D168:I168,$D$145:$I$145)</f>
        <v>0.24856099213011501</v>
      </c>
      <c r="H172" s="199">
        <f>XIRR(D169:I169,$D$145:$I$145)</f>
        <v>0.242236290896196</v>
      </c>
      <c r="I172" s="199">
        <f>XIRR(D170:I170,$D$145:$I$145)</f>
        <v>0.234035076346189</v>
      </c>
    </row>
    <row r="173" spans="2:9" outlineLevel="1">
      <c r="B173" s="200" t="s">
        <v>165</v>
      </c>
      <c r="C173" s="200"/>
      <c r="D173" s="201"/>
      <c r="E173" s="202">
        <f>E164/(-D166)</f>
        <v>1.26655015318623</v>
      </c>
      <c r="F173" s="202">
        <f>F164/(-D167)</f>
        <v>1.64421777123372</v>
      </c>
      <c r="G173" s="202">
        <f>G164/(-D168)</f>
        <v>2.0596525628412299</v>
      </c>
      <c r="H173" s="202">
        <f>H164/(-D169)</f>
        <v>2.51663114958024</v>
      </c>
      <c r="I173" s="202">
        <f>I164/(-D170)</f>
        <v>3.0193069674760298</v>
      </c>
    </row>
    <row r="174" spans="2:9" outlineLevel="1">
      <c r="B174" s="30" t="s">
        <v>166</v>
      </c>
      <c r="C174" s="30"/>
      <c r="D174" s="203"/>
      <c r="E174" s="204">
        <f>E173/E188</f>
        <v>14.3293231042238</v>
      </c>
      <c r="F174" s="204">
        <f>F173/F188</f>
        <v>9.8793797401577308</v>
      </c>
      <c r="G174" s="204">
        <f>G173/G188</f>
        <v>8.1643480754452895</v>
      </c>
      <c r="H174" s="204">
        <f>H173/H188</f>
        <v>7.2587466370903098</v>
      </c>
      <c r="I174" s="204">
        <f>I173/I188</f>
        <v>6.7010040949339098</v>
      </c>
    </row>
    <row r="175" spans="2:9" outlineLevel="1">
      <c r="B175" s="30"/>
      <c r="C175" s="30"/>
      <c r="D175" s="205"/>
      <c r="E175" s="204"/>
      <c r="F175" s="204"/>
      <c r="G175" s="204"/>
      <c r="H175" s="204"/>
      <c r="I175" s="204"/>
    </row>
    <row r="176" spans="2:9" outlineLevel="1">
      <c r="B176" s="15" t="s">
        <v>167</v>
      </c>
      <c r="C176" s="15"/>
      <c r="D176" s="79"/>
      <c r="E176" s="15"/>
      <c r="F176" s="15"/>
      <c r="G176" s="15"/>
      <c r="H176" s="15"/>
    </row>
    <row r="177" spans="2:9" outlineLevel="1">
      <c r="B177" s="68" t="s">
        <v>157</v>
      </c>
      <c r="D177" s="61"/>
      <c r="E177" s="191">
        <f>E158</f>
        <v>844732.45324054197</v>
      </c>
      <c r="F177" s="191">
        <f>F158</f>
        <v>1590568.35113129</v>
      </c>
      <c r="G177" s="191">
        <f>G158</f>
        <v>2410988.9236951298</v>
      </c>
      <c r="H177" s="191">
        <f>H158</f>
        <v>3313452.3860283201</v>
      </c>
      <c r="I177" s="206">
        <f>I158</f>
        <v>4306160.5412261197</v>
      </c>
    </row>
    <row r="178" spans="2:9" outlineLevel="1">
      <c r="B178" s="68" t="s">
        <v>105</v>
      </c>
      <c r="D178" s="61"/>
      <c r="E178" s="191">
        <f>N46/M50*E136/1000000</f>
        <v>1.00448814814351</v>
      </c>
      <c r="F178" s="191">
        <f>N46/M50*F136/1000000</f>
        <v>1.10493696295786</v>
      </c>
      <c r="G178" s="191">
        <f>N46/M50*G136/1000000</f>
        <v>1.2154306592536499</v>
      </c>
      <c r="H178" s="191">
        <f>N46/M50*H136/1000000</f>
        <v>1.3369737251790099</v>
      </c>
      <c r="I178" s="191">
        <f>N46/M50*I136/1000000</f>
        <v>1.47067109769691</v>
      </c>
    </row>
    <row r="179" spans="2:9" outlineLevel="1">
      <c r="B179" s="11" t="s">
        <v>158</v>
      </c>
      <c r="C179" s="11"/>
      <c r="D179" s="207"/>
      <c r="E179" s="196">
        <f>E177+E178</f>
        <v>844733.45772869</v>
      </c>
      <c r="F179" s="196">
        <f>F177+F178</f>
        <v>1590569.4560682499</v>
      </c>
      <c r="G179" s="196">
        <f>G177+G178</f>
        <v>2410990.13912579</v>
      </c>
      <c r="H179" s="196">
        <f>H177+H178</f>
        <v>3313453.7230020501</v>
      </c>
      <c r="I179" s="196">
        <f>I177+I178</f>
        <v>4306162.0118972203</v>
      </c>
    </row>
    <row r="180" spans="2:9" outlineLevel="1">
      <c r="D180" s="61"/>
      <c r="E180" s="191"/>
      <c r="F180" s="191"/>
      <c r="G180" s="191"/>
      <c r="H180" s="191"/>
      <c r="I180" s="191"/>
    </row>
    <row r="181" spans="2:9" outlineLevel="1">
      <c r="B181" s="4" t="s">
        <v>159</v>
      </c>
      <c r="D181" s="69">
        <f>-L46</f>
        <v>-9557030.6649852805</v>
      </c>
      <c r="E181" s="191">
        <f>E179</f>
        <v>844733.45772869</v>
      </c>
      <c r="F181" s="208">
        <v>0</v>
      </c>
      <c r="G181" s="208">
        <v>0</v>
      </c>
      <c r="H181" s="208">
        <v>0</v>
      </c>
      <c r="I181" s="208">
        <v>0</v>
      </c>
    </row>
    <row r="182" spans="2:9" outlineLevel="1">
      <c r="B182" s="4" t="s">
        <v>160</v>
      </c>
      <c r="D182" s="69">
        <f>-L46</f>
        <v>-9557030.6649852805</v>
      </c>
      <c r="E182" s="208">
        <v>0</v>
      </c>
      <c r="F182" s="191">
        <f>F179</f>
        <v>1590569.4560682499</v>
      </c>
      <c r="G182" s="208">
        <v>0</v>
      </c>
      <c r="H182" s="208">
        <v>0</v>
      </c>
      <c r="I182" s="208">
        <v>0</v>
      </c>
    </row>
    <row r="183" spans="2:9" outlineLevel="1">
      <c r="B183" s="4" t="s">
        <v>161</v>
      </c>
      <c r="D183" s="69">
        <f>-L46</f>
        <v>-9557030.6649852805</v>
      </c>
      <c r="E183" s="208">
        <v>0</v>
      </c>
      <c r="F183" s="208">
        <v>0</v>
      </c>
      <c r="G183" s="191">
        <f>G179</f>
        <v>2410990.13912579</v>
      </c>
      <c r="H183" s="208">
        <v>0</v>
      </c>
      <c r="I183" s="208">
        <v>0</v>
      </c>
    </row>
    <row r="184" spans="2:9" outlineLevel="1">
      <c r="B184" s="4" t="s">
        <v>162</v>
      </c>
      <c r="D184" s="69">
        <f>-L46</f>
        <v>-9557030.6649852805</v>
      </c>
      <c r="E184" s="208">
        <v>0</v>
      </c>
      <c r="F184" s="208">
        <v>0</v>
      </c>
      <c r="G184" s="208">
        <v>0</v>
      </c>
      <c r="H184" s="191">
        <f>H179</f>
        <v>3313453.7230020501</v>
      </c>
      <c r="I184" s="191">
        <v>0</v>
      </c>
    </row>
    <row r="185" spans="2:9" outlineLevel="1">
      <c r="B185" s="4" t="s">
        <v>163</v>
      </c>
      <c r="D185" s="69">
        <f>-L46</f>
        <v>-9557030.6649852805</v>
      </c>
      <c r="E185" s="208">
        <v>0</v>
      </c>
      <c r="F185" s="208">
        <v>0</v>
      </c>
      <c r="G185" s="208">
        <v>0</v>
      </c>
      <c r="H185" s="208">
        <v>0</v>
      </c>
      <c r="I185" s="191">
        <f>I179</f>
        <v>4306162.0118972203</v>
      </c>
    </row>
    <row r="186" spans="2:9" outlineLevel="1">
      <c r="D186" s="61"/>
    </row>
    <row r="187" spans="2:9" outlineLevel="1">
      <c r="B187" s="197" t="s">
        <v>164</v>
      </c>
      <c r="C187" s="197"/>
      <c r="D187" s="198"/>
      <c r="E187" s="199" t="e">
        <f>XIRR(D181:I181,$D$145:$I$145)</f>
        <v>#NUM!</v>
      </c>
      <c r="F187" s="199" t="e">
        <f>XIRR(D182:I182,$D$145:$I$145)</f>
        <v>#NUM!</v>
      </c>
      <c r="G187" s="199">
        <f>XIRR(D183:I183,$D$145:$I$145)</f>
        <v>-0.34501424192569302</v>
      </c>
      <c r="H187" s="199">
        <f>XIRR(D184:I184,$D$145:$I$145)</f>
        <v>-0.22039110914589299</v>
      </c>
      <c r="I187" s="199">
        <f>XIRR(D185:I185,$D$145:$I$145)</f>
        <v>-0.14076669371342501</v>
      </c>
    </row>
    <row r="188" spans="2:9" outlineLevel="1">
      <c r="B188" s="200" t="s">
        <v>165</v>
      </c>
      <c r="C188" s="200"/>
      <c r="D188" s="201"/>
      <c r="E188" s="202">
        <f>E179/(-D181)</f>
        <v>8.8388693867394896E-2</v>
      </c>
      <c r="F188" s="202">
        <f>F179/(-D182)</f>
        <v>0.16642925107436601</v>
      </c>
      <c r="G188" s="202">
        <f>G179/(-D183)</f>
        <v>0.25227397751888397</v>
      </c>
      <c r="H188" s="202">
        <f>H179/(-D184)</f>
        <v>0.34670326371785798</v>
      </c>
      <c r="I188" s="202">
        <f>I179/(-D185)</f>
        <v>0.45057530553647701</v>
      </c>
    </row>
    <row r="189" spans="2:9" outlineLevel="1">
      <c r="D189" s="61"/>
    </row>
    <row r="190" spans="2:9" outlineLevel="1">
      <c r="B190" s="15" t="s">
        <v>168</v>
      </c>
      <c r="C190" s="15"/>
      <c r="D190" s="79"/>
      <c r="E190" s="15"/>
      <c r="F190" s="15"/>
      <c r="G190" s="15"/>
      <c r="H190" s="15"/>
    </row>
    <row r="191" spans="2:9" outlineLevel="1">
      <c r="B191" s="68" t="s">
        <v>157</v>
      </c>
      <c r="D191" s="61"/>
      <c r="E191" s="51">
        <f>E159</f>
        <v>4269.5717094213796</v>
      </c>
      <c r="F191" s="51">
        <f>F159</f>
        <v>8039.2858210188697</v>
      </c>
      <c r="G191" s="51">
        <f>G159</f>
        <v>12185.976827157299</v>
      </c>
      <c r="H191" s="51">
        <f>H159</f>
        <v>16747.341141719899</v>
      </c>
      <c r="I191" s="209">
        <f>I159</f>
        <v>21764.833531037999</v>
      </c>
    </row>
    <row r="192" spans="2:9" outlineLevel="1">
      <c r="B192" s="68" t="s">
        <v>105</v>
      </c>
      <c r="D192" s="61"/>
      <c r="E192" s="51">
        <f>SUM(M42:M43)/M50*E136/1000000</f>
        <v>4.5693293148371901E-2</v>
      </c>
      <c r="F192" s="51">
        <f>SUM(M42:M43)/M50*F136/1000000</f>
        <v>5.0262622463208999E-2</v>
      </c>
      <c r="G192" s="51">
        <f>SUM(M42:M43)/M50*G136/1000000</f>
        <v>5.5288884709529897E-2</v>
      </c>
      <c r="H192" s="51">
        <f>SUM(M42:M43)/M50*H136/1000000</f>
        <v>6.0817773180482898E-2</v>
      </c>
      <c r="I192" s="51">
        <f>SUM(M42:M43)/M50*I136/1000000</f>
        <v>6.6899550498531205E-2</v>
      </c>
    </row>
    <row r="193" spans="1:10" outlineLevel="1">
      <c r="B193" s="11" t="s">
        <v>158</v>
      </c>
      <c r="C193" s="11"/>
      <c r="D193" s="207"/>
      <c r="E193" s="210">
        <f>E191+E192</f>
        <v>4269.6174027145298</v>
      </c>
      <c r="F193" s="210">
        <f>F191+F192</f>
        <v>8039.3360836413403</v>
      </c>
      <c r="G193" s="210">
        <f>G191+G192</f>
        <v>12186.032116042101</v>
      </c>
      <c r="H193" s="210">
        <f>H191+H192</f>
        <v>16747.401959493101</v>
      </c>
      <c r="I193" s="210">
        <f>I191+I192</f>
        <v>21764.900430588499</v>
      </c>
    </row>
    <row r="194" spans="1:10" outlineLevel="1">
      <c r="D194" s="61"/>
    </row>
    <row r="195" spans="1:10" outlineLevel="1">
      <c r="B195" s="4" t="s">
        <v>159</v>
      </c>
      <c r="D195" s="69">
        <f>-(SUM(I42:I43))</f>
        <v>-48304.557965970002</v>
      </c>
      <c r="E195" s="70">
        <f>E193</f>
        <v>4269.6174027145298</v>
      </c>
      <c r="F195" s="112">
        <v>0</v>
      </c>
      <c r="G195" s="112">
        <v>0</v>
      </c>
      <c r="H195" s="112">
        <v>0</v>
      </c>
      <c r="I195" s="112">
        <v>0</v>
      </c>
    </row>
    <row r="196" spans="1:10" outlineLevel="1">
      <c r="B196" s="4" t="s">
        <v>160</v>
      </c>
      <c r="D196" s="69">
        <f>-(SUM(I42:I43))</f>
        <v>-48304.557965970002</v>
      </c>
      <c r="E196" s="112">
        <v>0</v>
      </c>
      <c r="F196" s="70">
        <f>F193</f>
        <v>8039.3360836413403</v>
      </c>
      <c r="G196" s="112">
        <v>0</v>
      </c>
      <c r="H196" s="112">
        <v>0</v>
      </c>
      <c r="I196" s="112">
        <v>0</v>
      </c>
    </row>
    <row r="197" spans="1:10" outlineLevel="1">
      <c r="B197" s="4" t="s">
        <v>161</v>
      </c>
      <c r="D197" s="69">
        <f>-(SUM(I42:I43))</f>
        <v>-48304.557965970002</v>
      </c>
      <c r="E197" s="112">
        <v>0</v>
      </c>
      <c r="F197" s="112">
        <v>0</v>
      </c>
      <c r="G197" s="70">
        <f>G193</f>
        <v>12186.032116042101</v>
      </c>
      <c r="H197" s="112">
        <v>0</v>
      </c>
      <c r="I197" s="112">
        <v>0</v>
      </c>
    </row>
    <row r="198" spans="1:10" outlineLevel="1">
      <c r="B198" s="4" t="s">
        <v>162</v>
      </c>
      <c r="D198" s="69">
        <f>-(SUM(I42:I43))</f>
        <v>-48304.557965970002</v>
      </c>
      <c r="E198" s="112">
        <v>0</v>
      </c>
      <c r="F198" s="112">
        <v>0</v>
      </c>
      <c r="G198" s="112">
        <v>0</v>
      </c>
      <c r="H198" s="70">
        <f>H193</f>
        <v>16747.401959493101</v>
      </c>
      <c r="I198" s="70">
        <v>0</v>
      </c>
    </row>
    <row r="199" spans="1:10" outlineLevel="1">
      <c r="B199" s="4" t="s">
        <v>163</v>
      </c>
      <c r="D199" s="69">
        <f>-(SUM(I42:I43))</f>
        <v>-48304.557965970002</v>
      </c>
      <c r="E199" s="112">
        <v>0</v>
      </c>
      <c r="F199" s="112">
        <v>0</v>
      </c>
      <c r="G199" s="112">
        <v>0</v>
      </c>
      <c r="H199" s="112">
        <v>0</v>
      </c>
      <c r="I199" s="70">
        <f>I193</f>
        <v>21764.900430588499</v>
      </c>
    </row>
    <row r="200" spans="1:10" outlineLevel="1">
      <c r="D200" s="61"/>
    </row>
    <row r="201" spans="1:10" outlineLevel="1">
      <c r="B201" s="197" t="s">
        <v>164</v>
      </c>
      <c r="C201" s="197"/>
      <c r="D201" s="198"/>
      <c r="E201" s="199" t="e">
        <f>XIRR(D195:I195,$D$145:$I$145)</f>
        <v>#NUM!</v>
      </c>
      <c r="F201" s="199" t="e">
        <f>XIRR(D196:I196,$D$145:$I$145)</f>
        <v>#NUM!</v>
      </c>
      <c r="G201" s="199">
        <f>XIRR(D197:I197,$D$145:$I$145)</f>
        <v>-0.34501343034367898</v>
      </c>
      <c r="H201" s="199">
        <f>XIRR(D198:I198,$D$145:$I$145)</f>
        <v>-0.22039051768013601</v>
      </c>
      <c r="I201" s="199">
        <f>XIRR(D199:I199,$D$145:$I$145)</f>
        <v>-0.14076624695776399</v>
      </c>
    </row>
    <row r="202" spans="1:10" outlineLevel="1">
      <c r="B202" s="200" t="s">
        <v>165</v>
      </c>
      <c r="C202" s="200"/>
      <c r="D202" s="201"/>
      <c r="E202" s="202">
        <f>E193/(-D195)</f>
        <v>8.8389534704415004E-2</v>
      </c>
      <c r="F202" s="202">
        <f>F193/(-D196)</f>
        <v>0.166430175995088</v>
      </c>
      <c r="G202" s="202">
        <f>G193/(-D197)</f>
        <v>0.25227499493167899</v>
      </c>
      <c r="H202" s="202">
        <f>H193/(-D198)</f>
        <v>0.346704382871932</v>
      </c>
      <c r="I202" s="202">
        <f>I193/(-D199)</f>
        <v>0.45057653660595798</v>
      </c>
    </row>
    <row r="203" spans="1:10" outlineLevel="1"/>
    <row r="204" spans="1:10" outlineLevel="1"/>
    <row r="205" spans="1:10" ht="3.9" customHeight="1"/>
    <row r="206" spans="1:10" s="32" customFormat="1">
      <c r="A206" s="90" t="s">
        <v>33</v>
      </c>
      <c r="B206" s="1" t="s">
        <v>169</v>
      </c>
    </row>
    <row r="207" spans="1:10" outlineLevel="1"/>
    <row r="208" spans="1:10" outlineLevel="1">
      <c r="B208" s="211"/>
      <c r="C208" s="58">
        <v>45657</v>
      </c>
      <c r="D208" s="176">
        <v>46022</v>
      </c>
      <c r="E208" s="58" t="s">
        <v>117</v>
      </c>
      <c r="F208" s="60">
        <v>46387</v>
      </c>
      <c r="G208" s="60">
        <v>46752</v>
      </c>
      <c r="H208" s="60">
        <v>47118</v>
      </c>
      <c r="I208" s="60">
        <v>47483</v>
      </c>
      <c r="J208" s="60">
        <v>47848</v>
      </c>
    </row>
    <row r="209" spans="1:10" outlineLevel="1">
      <c r="D209" s="61"/>
    </row>
    <row r="210" spans="1:10" outlineLevel="1">
      <c r="C210" s="51">
        <f t="shared" ref="C210:J210" si="29">-C99</f>
        <v>9.9900000000000003E-2</v>
      </c>
      <c r="D210" s="212">
        <f t="shared" si="29"/>
        <v>0.157</v>
      </c>
      <c r="E210" s="70">
        <f t="shared" si="29"/>
        <v>3.9572602739726001E-2</v>
      </c>
      <c r="F210" s="51">
        <f t="shared" si="29"/>
        <v>0.19</v>
      </c>
      <c r="G210" s="51">
        <f t="shared" si="29"/>
        <v>0.22700000000000001</v>
      </c>
      <c r="H210" s="51">
        <f t="shared" si="29"/>
        <v>0.27300000000000002</v>
      </c>
      <c r="I210" s="51">
        <f t="shared" si="29"/>
        <v>0.32700000000000001</v>
      </c>
      <c r="J210" s="51">
        <f t="shared" si="29"/>
        <v>0.39240000000000003</v>
      </c>
    </row>
    <row r="211" spans="1:10" outlineLevel="1">
      <c r="D211" s="61"/>
      <c r="F211" s="51"/>
      <c r="G211" s="51"/>
      <c r="H211" s="51"/>
      <c r="I211" s="51"/>
      <c r="J211" s="51"/>
    </row>
    <row r="212" spans="1:10" outlineLevel="1">
      <c r="B212" s="44" t="s">
        <v>170</v>
      </c>
      <c r="D212" s="61"/>
      <c r="F212" s="51"/>
      <c r="G212" s="51"/>
      <c r="H212" s="51"/>
      <c r="I212" s="51"/>
      <c r="J212" s="51"/>
    </row>
    <row r="213" spans="1:10" outlineLevel="1">
      <c r="C213" s="70">
        <f t="shared" ref="C213:J213" si="30">-C109</f>
        <v>0</v>
      </c>
      <c r="D213" s="69">
        <f t="shared" si="30"/>
        <v>0.157</v>
      </c>
      <c r="E213" s="70">
        <f t="shared" si="30"/>
        <v>3.9572602739726001E-2</v>
      </c>
      <c r="F213" s="70">
        <f t="shared" si="30"/>
        <v>0.19</v>
      </c>
      <c r="G213" s="70">
        <f t="shared" si="30"/>
        <v>0.22700000000000001</v>
      </c>
      <c r="H213" s="70">
        <f t="shared" si="30"/>
        <v>0.27300000000000002</v>
      </c>
      <c r="I213" s="70">
        <f t="shared" si="30"/>
        <v>0.32700000000000001</v>
      </c>
      <c r="J213" s="70">
        <f t="shared" si="30"/>
        <v>0.39240000000000003</v>
      </c>
    </row>
    <row r="214" spans="1:10" outlineLevel="1">
      <c r="C214" s="70"/>
      <c r="D214" s="69"/>
      <c r="F214" s="70"/>
      <c r="G214" s="70"/>
      <c r="H214" s="70"/>
      <c r="I214" s="70"/>
      <c r="J214" s="70"/>
    </row>
    <row r="215" spans="1:10" outlineLevel="1">
      <c r="B215" s="44" t="s">
        <v>171</v>
      </c>
      <c r="C215" s="70"/>
      <c r="D215" s="69"/>
      <c r="F215" s="70"/>
      <c r="G215" s="70"/>
      <c r="H215" s="70"/>
      <c r="I215" s="70"/>
      <c r="J215" s="70"/>
    </row>
    <row r="216" spans="1:10" outlineLevel="1">
      <c r="C216" s="70">
        <f>C95*$D$12</f>
        <v>0.999</v>
      </c>
      <c r="D216" s="69">
        <f>D95*$D$12</f>
        <v>1.57</v>
      </c>
      <c r="E216" s="70"/>
      <c r="F216" s="70">
        <f>F95*$D$12</f>
        <v>1.9</v>
      </c>
      <c r="G216" s="70">
        <f>G95*$D$12</f>
        <v>2.27</v>
      </c>
      <c r="H216" s="70">
        <f>H95*$D$12</f>
        <v>2.73</v>
      </c>
      <c r="I216" s="70">
        <f>I95*$D$12</f>
        <v>3.27</v>
      </c>
      <c r="J216" s="70">
        <f>J95*$D$12</f>
        <v>3.9239999999999999</v>
      </c>
    </row>
    <row r="217" spans="1:10" outlineLevel="1">
      <c r="C217" s="70"/>
      <c r="D217" s="69">
        <v>0</v>
      </c>
      <c r="E217" s="70">
        <f>(D216-C216)*$M$8</f>
        <v>0.143923287671233</v>
      </c>
      <c r="F217" s="70">
        <f>F216-D216</f>
        <v>0.33</v>
      </c>
      <c r="G217" s="70">
        <f>G216-F216</f>
        <v>0.37</v>
      </c>
      <c r="H217" s="70">
        <f>H216-G216</f>
        <v>0.46</v>
      </c>
      <c r="I217" s="70">
        <f>I216-H216</f>
        <v>0.54</v>
      </c>
      <c r="J217" s="70">
        <f>J216-I216</f>
        <v>0.65400000000000003</v>
      </c>
    </row>
    <row r="218" spans="1:10" outlineLevel="1"/>
    <row r="219" spans="1:10" ht="3.9" customHeight="1"/>
    <row r="220" spans="1:10" s="32" customFormat="1">
      <c r="A220" s="90" t="s">
        <v>33</v>
      </c>
      <c r="B220" s="1" t="s">
        <v>172</v>
      </c>
    </row>
  </sheetData>
  <dataValidations count="1">
    <dataValidation type="list" allowBlank="1" showInputMessage="1" showErrorMessage="1" sqref="G21" xr:uid="{00000000-0002-0000-0200-000000000000}">
      <formula1>"Yes, No"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69"/>
  <sheetViews>
    <sheetView showGridLines="0" topLeftCell="A40" workbookViewId="0">
      <selection activeCell="K54" sqref="K54"/>
    </sheetView>
  </sheetViews>
  <sheetFormatPr defaultColWidth="9.109375" defaultRowHeight="10.8" outlineLevelRow="1"/>
  <cols>
    <col min="1" max="1" width="1.77734375" style="34" customWidth="1"/>
    <col min="2" max="2" width="17.88671875" style="4" customWidth="1"/>
    <col min="3" max="3" width="9.109375" style="4" customWidth="1"/>
    <col min="4" max="16384" width="9.109375" style="4"/>
  </cols>
  <sheetData>
    <row r="1" spans="1:14" s="1" customFormat="1" ht="15" customHeight="1">
      <c r="B1" s="5" t="s">
        <v>173</v>
      </c>
    </row>
    <row r="2" spans="1:14" ht="3.9" customHeight="1">
      <c r="C2" s="20"/>
    </row>
    <row r="3" spans="1:14" s="32" customFormat="1">
      <c r="A3" s="35" t="s">
        <v>174</v>
      </c>
      <c r="B3" s="1" t="s">
        <v>34</v>
      </c>
    </row>
    <row r="4" spans="1:14" outlineLevel="1"/>
    <row r="5" spans="1:14" outlineLevel="1">
      <c r="B5" s="4" t="s">
        <v>175</v>
      </c>
      <c r="C5" s="36">
        <v>0.02</v>
      </c>
      <c r="E5" s="4" t="s">
        <v>0</v>
      </c>
      <c r="F5" s="19" t="s">
        <v>1</v>
      </c>
      <c r="G5" s="4" t="s">
        <v>135</v>
      </c>
      <c r="I5" s="37">
        <v>45930</v>
      </c>
    </row>
    <row r="6" spans="1:14" outlineLevel="1">
      <c r="B6" s="4" t="s">
        <v>176</v>
      </c>
      <c r="C6" s="38">
        <f>LBO!H8</f>
        <v>8.2179930795847795</v>
      </c>
      <c r="E6" s="4" t="s">
        <v>2</v>
      </c>
      <c r="F6" s="20" t="s">
        <v>3</v>
      </c>
      <c r="G6" s="4" t="s">
        <v>39</v>
      </c>
      <c r="I6" s="37">
        <v>46022</v>
      </c>
    </row>
    <row r="7" spans="1:14" outlineLevel="1">
      <c r="B7" s="4" t="s">
        <v>177</v>
      </c>
      <c r="C7" s="39">
        <v>0.2</v>
      </c>
      <c r="G7" s="11" t="s">
        <v>43</v>
      </c>
      <c r="H7" s="11"/>
      <c r="I7" s="40">
        <v>0.25</v>
      </c>
    </row>
    <row r="8" spans="1:14" outlineLevel="1">
      <c r="B8" s="4" t="s">
        <v>178</v>
      </c>
      <c r="C8" s="36">
        <v>0.5</v>
      </c>
      <c r="G8" s="13"/>
      <c r="H8" s="13"/>
      <c r="I8" s="13"/>
    </row>
    <row r="9" spans="1:14" outlineLevel="1"/>
    <row r="10" spans="1:14" ht="3.9" customHeight="1"/>
    <row r="11" spans="1:14" s="32" customFormat="1">
      <c r="A11" s="35" t="s">
        <v>174</v>
      </c>
      <c r="B11" s="1" t="s">
        <v>179</v>
      </c>
    </row>
    <row r="12" spans="1:14" outlineLevel="1">
      <c r="B12" s="2"/>
    </row>
    <row r="13" spans="1:14" outlineLevel="1">
      <c r="B13" s="19" t="s">
        <v>180</v>
      </c>
      <c r="C13" s="41">
        <f>(LBO!D70*LBO!H15+LBO!D71*LBO!H16)/LBO!H18</f>
        <v>0.05</v>
      </c>
      <c r="D13" s="42"/>
    </row>
    <row r="14" spans="1:14" outlineLevel="1">
      <c r="B14" s="19" t="s">
        <v>91</v>
      </c>
      <c r="C14" s="43">
        <f>LBO!J123+LBO!J129</f>
        <v>3.12426614481409</v>
      </c>
      <c r="D14" s="42"/>
      <c r="K14" s="44" t="s">
        <v>181</v>
      </c>
    </row>
    <row r="15" spans="1:14" outlineLevel="1">
      <c r="B15" s="19"/>
      <c r="C15" s="41"/>
      <c r="D15" s="42"/>
      <c r="K15" s="4" t="s">
        <v>182</v>
      </c>
      <c r="N15" s="4">
        <v>0.98</v>
      </c>
    </row>
    <row r="16" spans="1:14" outlineLevel="1">
      <c r="B16" s="19" t="s">
        <v>183</v>
      </c>
      <c r="C16" s="36">
        <v>4.3999999999999997E-2</v>
      </c>
      <c r="D16" s="45"/>
      <c r="K16" s="4" t="s">
        <v>184</v>
      </c>
      <c r="N16" s="4">
        <v>0.85</v>
      </c>
    </row>
    <row r="17" spans="1:14" outlineLevel="1">
      <c r="B17" s="19" t="s">
        <v>185</v>
      </c>
      <c r="C17" s="46">
        <v>5.1299999999999998E-2</v>
      </c>
      <c r="D17" s="45"/>
      <c r="K17" s="4" t="s">
        <v>186</v>
      </c>
      <c r="N17" s="4">
        <v>0.82</v>
      </c>
    </row>
    <row r="18" spans="1:14" outlineLevel="1">
      <c r="B18" s="19" t="s">
        <v>187</v>
      </c>
      <c r="C18" s="47">
        <f>AVERAGE(N15:N17)</f>
        <v>0.88333333333333297</v>
      </c>
      <c r="D18" s="45"/>
      <c r="K18" s="48" t="s">
        <v>188</v>
      </c>
      <c r="L18" s="48"/>
      <c r="M18" s="48"/>
      <c r="N18" s="49">
        <v>0.88333333333333297</v>
      </c>
    </row>
    <row r="19" spans="1:14" outlineLevel="1">
      <c r="B19" s="19" t="s">
        <v>189</v>
      </c>
      <c r="C19" s="47">
        <f>C18*(1+(1-LBO!D10)*C8)</f>
        <v>1.2366666666666699</v>
      </c>
      <c r="D19" s="42"/>
    </row>
    <row r="20" spans="1:14" outlineLevel="1">
      <c r="B20" s="19" t="s">
        <v>190</v>
      </c>
      <c r="C20" s="50">
        <f>C16+C19*C17+C25</f>
        <v>0.10744099999999999</v>
      </c>
    </row>
    <row r="21" spans="1:14" outlineLevel="1">
      <c r="B21" s="19" t="s">
        <v>191</v>
      </c>
      <c r="C21" s="51">
        <f>LBO!I153</f>
        <v>6609094.98136112</v>
      </c>
    </row>
    <row r="22" spans="1:14" outlineLevel="1">
      <c r="B22" s="19"/>
      <c r="C22" s="51"/>
    </row>
    <row r="23" spans="1:14" outlineLevel="1">
      <c r="B23" s="19" t="s">
        <v>192</v>
      </c>
      <c r="C23" s="51">
        <f>C14+C21</f>
        <v>6609098.1056272704</v>
      </c>
    </row>
    <row r="24" spans="1:14" outlineLevel="1">
      <c r="B24" s="19"/>
      <c r="C24" s="51"/>
    </row>
    <row r="25" spans="1:14" s="33" customFormat="1" outlineLevel="1">
      <c r="A25" s="52"/>
      <c r="B25" s="53" t="s">
        <v>193</v>
      </c>
      <c r="C25" s="54">
        <v>0</v>
      </c>
      <c r="D25" s="55"/>
    </row>
    <row r="26" spans="1:14" outlineLevel="1">
      <c r="B26" s="19"/>
      <c r="C26" s="51"/>
    </row>
    <row r="27" spans="1:14" outlineLevel="1">
      <c r="B27" s="56" t="s">
        <v>179</v>
      </c>
      <c r="C27" s="57">
        <f>C20*C21/C23+C13*(1-LBO!D10)*C14/C23</f>
        <v>0.107440968119155</v>
      </c>
    </row>
    <row r="28" spans="1:14" outlineLevel="1">
      <c r="B28" s="19"/>
      <c r="C28" s="51"/>
    </row>
    <row r="29" spans="1:14" ht="3.9" customHeight="1"/>
    <row r="30" spans="1:14" s="32" customFormat="1">
      <c r="A30" s="35" t="s">
        <v>174</v>
      </c>
      <c r="B30" s="1" t="s">
        <v>194</v>
      </c>
    </row>
    <row r="31" spans="1:14" outlineLevel="1"/>
    <row r="32" spans="1:14" outlineLevel="1">
      <c r="B32" s="58"/>
      <c r="C32" s="59">
        <v>46022</v>
      </c>
      <c r="D32" s="58" t="s">
        <v>117</v>
      </c>
      <c r="E32" s="60">
        <v>46387</v>
      </c>
      <c r="F32" s="60">
        <v>46752</v>
      </c>
      <c r="G32" s="60">
        <v>47118</v>
      </c>
      <c r="H32" s="60">
        <v>47483</v>
      </c>
      <c r="I32" s="60">
        <v>47848</v>
      </c>
    </row>
    <row r="33" spans="1:9" outlineLevel="1">
      <c r="C33" s="61"/>
    </row>
    <row r="34" spans="1:9" s="13" customFormat="1" outlineLevel="1">
      <c r="A34" s="62"/>
      <c r="B34" s="13" t="s">
        <v>5</v>
      </c>
      <c r="C34" s="63">
        <f>LBO!D95</f>
        <v>15.7</v>
      </c>
      <c r="D34" s="64">
        <f>LBO!E95</f>
        <v>3.9572602739725999</v>
      </c>
      <c r="E34" s="64">
        <f>LBO!F95</f>
        <v>19</v>
      </c>
      <c r="F34" s="64">
        <f>LBO!G95</f>
        <v>22.7</v>
      </c>
      <c r="G34" s="64">
        <f>LBO!H95</f>
        <v>27.3</v>
      </c>
      <c r="H34" s="64">
        <f>LBO!I95</f>
        <v>32.700000000000003</v>
      </c>
      <c r="I34" s="64">
        <f>LBO!J95</f>
        <v>39.24</v>
      </c>
    </row>
    <row r="35" spans="1:9" s="13" customFormat="1" outlineLevel="1">
      <c r="A35" s="62"/>
      <c r="B35" s="65" t="s">
        <v>195</v>
      </c>
      <c r="C35" s="63"/>
      <c r="D35" s="64"/>
      <c r="E35" s="64"/>
      <c r="F35" s="64"/>
      <c r="G35" s="64"/>
      <c r="H35" s="64"/>
      <c r="I35" s="64"/>
    </row>
    <row r="36" spans="1:9" outlineLevel="1">
      <c r="B36" s="15" t="s">
        <v>6</v>
      </c>
      <c r="C36" s="66">
        <f>LBO!D97</f>
        <v>2.3119999999999998</v>
      </c>
      <c r="D36" s="67">
        <f>LBO!E97</f>
        <v>0.58275068493150695</v>
      </c>
      <c r="E36" s="67">
        <f>LBO!F97</f>
        <v>2.3769999999999998</v>
      </c>
      <c r="F36" s="67">
        <f>LBO!G97</f>
        <v>2.9609999999999999</v>
      </c>
      <c r="G36" s="67">
        <f>LBO!H97</f>
        <v>3.762</v>
      </c>
      <c r="H36" s="67">
        <f>LBO!I97</f>
        <v>4.7430000000000003</v>
      </c>
      <c r="I36" s="67">
        <f>LBO!J97</f>
        <v>5.4935999999999998</v>
      </c>
    </row>
    <row r="37" spans="1:9" outlineLevel="1">
      <c r="B37" s="68" t="s">
        <v>196</v>
      </c>
      <c r="C37" s="69">
        <f>LBO!D99</f>
        <v>-0.157</v>
      </c>
      <c r="D37" s="70">
        <f>LBO!E99</f>
        <v>-3.9572602739726001E-2</v>
      </c>
      <c r="E37" s="70">
        <f>LBO!F99</f>
        <v>-0.19</v>
      </c>
      <c r="F37" s="70">
        <f>LBO!G99</f>
        <v>-0.22700000000000001</v>
      </c>
      <c r="G37" s="70">
        <f>LBO!H99</f>
        <v>-0.27300000000000002</v>
      </c>
      <c r="H37" s="70">
        <f>LBO!I99</f>
        <v>-0.32700000000000001</v>
      </c>
      <c r="I37" s="70">
        <f>LBO!J99</f>
        <v>-0.39240000000000003</v>
      </c>
    </row>
    <row r="38" spans="1:9" s="33" customFormat="1" outlineLevel="1">
      <c r="A38" s="52"/>
      <c r="B38" s="71" t="s">
        <v>121</v>
      </c>
      <c r="C38" s="72">
        <f t="shared" ref="C38:I38" si="0">C36+C37</f>
        <v>2.1549999999999998</v>
      </c>
      <c r="D38" s="73">
        <f t="shared" si="0"/>
        <v>0.54317808219178099</v>
      </c>
      <c r="E38" s="73">
        <f t="shared" si="0"/>
        <v>2.1869999999999998</v>
      </c>
      <c r="F38" s="73">
        <f t="shared" si="0"/>
        <v>2.734</v>
      </c>
      <c r="G38" s="73">
        <f t="shared" si="0"/>
        <v>3.4889999999999999</v>
      </c>
      <c r="H38" s="73">
        <f t="shared" si="0"/>
        <v>4.4160000000000004</v>
      </c>
      <c r="I38" s="73">
        <f t="shared" si="0"/>
        <v>5.1012000000000004</v>
      </c>
    </row>
    <row r="39" spans="1:9" outlineLevel="1">
      <c r="B39" s="68" t="s">
        <v>124</v>
      </c>
      <c r="C39" s="69">
        <f>-MAX(C38,0)*LBO!$D$10</f>
        <v>-0.43099999999999999</v>
      </c>
      <c r="D39" s="70">
        <f>-MAX(D38,0)*LBO!$D$10</f>
        <v>-0.10863561643835599</v>
      </c>
      <c r="E39" s="70">
        <f>-MAX(E38,0)*LBO!$D$10</f>
        <v>-0.43740000000000001</v>
      </c>
      <c r="F39" s="70">
        <f>-MAX(F38,0)*LBO!$D$10</f>
        <v>-0.54679999999999995</v>
      </c>
      <c r="G39" s="70">
        <f>-MAX(G38,0)*LBO!$D$10</f>
        <v>-0.69779999999999998</v>
      </c>
      <c r="H39" s="70">
        <f>-MAX(H38,0)*LBO!$D$10</f>
        <v>-0.88319999999999999</v>
      </c>
      <c r="I39" s="70">
        <f>-MAX(I38,0)*LBO!$D$10</f>
        <v>-1.02024</v>
      </c>
    </row>
    <row r="40" spans="1:9" outlineLevel="1">
      <c r="B40" s="68" t="s">
        <v>126</v>
      </c>
      <c r="C40" s="69">
        <f t="shared" ref="C40:I40" si="1">-C37</f>
        <v>0.157</v>
      </c>
      <c r="D40" s="70">
        <f t="shared" si="1"/>
        <v>3.9572602739726001E-2</v>
      </c>
      <c r="E40" s="70">
        <f t="shared" si="1"/>
        <v>0.19</v>
      </c>
      <c r="F40" s="70">
        <f t="shared" si="1"/>
        <v>0.22700000000000001</v>
      </c>
      <c r="G40" s="70">
        <f t="shared" si="1"/>
        <v>0.27300000000000002</v>
      </c>
      <c r="H40" s="70">
        <f t="shared" si="1"/>
        <v>0.32700000000000001</v>
      </c>
      <c r="I40" s="70">
        <f t="shared" si="1"/>
        <v>0.39240000000000003</v>
      </c>
    </row>
    <row r="41" spans="1:9" outlineLevel="1">
      <c r="B41" s="68" t="s">
        <v>128</v>
      </c>
      <c r="C41" s="69">
        <f>LBO!D109</f>
        <v>-0.157</v>
      </c>
      <c r="D41" s="70">
        <f>LBO!E109</f>
        <v>-3.9572602739726001E-2</v>
      </c>
      <c r="E41" s="70">
        <f>LBO!F109</f>
        <v>-0.19</v>
      </c>
      <c r="F41" s="70">
        <f>LBO!G109</f>
        <v>-0.22700000000000001</v>
      </c>
      <c r="G41" s="70">
        <f>LBO!H109</f>
        <v>-0.27300000000000002</v>
      </c>
      <c r="H41" s="70">
        <f>LBO!I109</f>
        <v>-0.32700000000000001</v>
      </c>
      <c r="I41" s="70">
        <f>LBO!J109</f>
        <v>-0.39240000000000003</v>
      </c>
    </row>
    <row r="42" spans="1:9" outlineLevel="1">
      <c r="B42" s="68" t="s">
        <v>129</v>
      </c>
      <c r="C42" s="69">
        <f>LBO!D110</f>
        <v>0</v>
      </c>
      <c r="D42" s="70">
        <f>LBO!E110</f>
        <v>-0.143923287671233</v>
      </c>
      <c r="E42" s="70">
        <f>LBO!F110</f>
        <v>-0.33</v>
      </c>
      <c r="F42" s="70">
        <f>LBO!G110</f>
        <v>-0.37</v>
      </c>
      <c r="G42" s="70">
        <f>LBO!H110</f>
        <v>-0.46</v>
      </c>
      <c r="H42" s="70">
        <f>LBO!I110</f>
        <v>-0.54</v>
      </c>
      <c r="I42" s="70">
        <f>LBO!J110</f>
        <v>-0.65400000000000003</v>
      </c>
    </row>
    <row r="43" spans="1:9" outlineLevel="1">
      <c r="B43" s="15" t="s">
        <v>197</v>
      </c>
      <c r="C43" s="66">
        <f t="shared" ref="C43:I43" si="2">C38+C39+C40+C41+C42</f>
        <v>1.724</v>
      </c>
      <c r="D43" s="67">
        <f t="shared" si="2"/>
        <v>0.29061917808219201</v>
      </c>
      <c r="E43" s="67">
        <f t="shared" si="2"/>
        <v>1.4196</v>
      </c>
      <c r="F43" s="67">
        <f t="shared" si="2"/>
        <v>1.8171999999999999</v>
      </c>
      <c r="G43" s="67">
        <f t="shared" si="2"/>
        <v>2.3311999999999999</v>
      </c>
      <c r="H43" s="67">
        <f t="shared" si="2"/>
        <v>2.9927999999999999</v>
      </c>
      <c r="I43" s="67">
        <f t="shared" si="2"/>
        <v>3.4269599999999998</v>
      </c>
    </row>
    <row r="44" spans="1:9" outlineLevel="1">
      <c r="C44" s="61"/>
    </row>
    <row r="45" spans="1:9" outlineLevel="1">
      <c r="B45" s="4" t="s">
        <v>198</v>
      </c>
      <c r="C45" s="74"/>
      <c r="D45" s="75">
        <v>0.125</v>
      </c>
      <c r="E45" s="75">
        <f>D45+1</f>
        <v>1.125</v>
      </c>
      <c r="F45" s="75">
        <f>E45+1</f>
        <v>2.125</v>
      </c>
      <c r="G45" s="75">
        <f>F45+1</f>
        <v>3.125</v>
      </c>
      <c r="H45" s="75">
        <f>G45+1</f>
        <v>4.125</v>
      </c>
      <c r="I45" s="75">
        <f>H45+1</f>
        <v>5.125</v>
      </c>
    </row>
    <row r="46" spans="1:9" outlineLevel="1">
      <c r="B46" s="4" t="s">
        <v>199</v>
      </c>
      <c r="C46" s="76"/>
      <c r="D46" s="75">
        <f t="shared" ref="D46:I46" si="3">1/(1+$C$27)^D45</f>
        <v>0.98732452919629199</v>
      </c>
      <c r="E46" s="75">
        <f t="shared" si="3"/>
        <v>0.89153693751562701</v>
      </c>
      <c r="F46" s="75">
        <f t="shared" si="3"/>
        <v>0.805042402422394</v>
      </c>
      <c r="G46" s="75">
        <f t="shared" si="3"/>
        <v>0.72693933635998198</v>
      </c>
      <c r="H46" s="75">
        <f t="shared" si="3"/>
        <v>0.65641362139112003</v>
      </c>
      <c r="I46" s="75">
        <f t="shared" si="3"/>
        <v>0.59273012312877804</v>
      </c>
    </row>
    <row r="47" spans="1:9" outlineLevel="1">
      <c r="C47" s="61"/>
      <c r="D47" s="47"/>
      <c r="E47" s="47"/>
      <c r="F47" s="47"/>
      <c r="G47" s="47"/>
      <c r="H47" s="47"/>
      <c r="I47" s="47"/>
    </row>
    <row r="48" spans="1:9" outlineLevel="1">
      <c r="B48" s="13" t="s">
        <v>200</v>
      </c>
      <c r="C48" s="77"/>
      <c r="D48" s="78">
        <f t="shared" ref="D48:I48" si="4">D43*D46</f>
        <v>0.28693544317541297</v>
      </c>
      <c r="E48" s="78">
        <f t="shared" si="4"/>
        <v>1.26562583649718</v>
      </c>
      <c r="F48" s="78">
        <f t="shared" si="4"/>
        <v>1.46292305368197</v>
      </c>
      <c r="G48" s="78">
        <f t="shared" si="4"/>
        <v>1.6946409809223899</v>
      </c>
      <c r="H48" s="78">
        <f t="shared" si="4"/>
        <v>1.9645146860993401</v>
      </c>
      <c r="I48" s="78">
        <f t="shared" si="4"/>
        <v>2.0312624227574001</v>
      </c>
    </row>
    <row r="49" spans="1:9" outlineLevel="1">
      <c r="B49" s="15" t="s">
        <v>201</v>
      </c>
      <c r="C49" s="79"/>
      <c r="D49" s="80"/>
      <c r="E49" s="80"/>
      <c r="F49" s="80"/>
      <c r="G49" s="80"/>
      <c r="H49" s="80"/>
      <c r="I49" s="80">
        <f>SUM(D48:I48)</f>
        <v>8.7059024231337006</v>
      </c>
    </row>
    <row r="50" spans="1:9" outlineLevel="1">
      <c r="C50" s="61"/>
    </row>
    <row r="51" spans="1:9" outlineLevel="1"/>
    <row r="52" spans="1:9" outlineLevel="1">
      <c r="B52" s="44" t="s">
        <v>202</v>
      </c>
      <c r="C52" s="44"/>
      <c r="E52" s="81" t="s">
        <v>203</v>
      </c>
      <c r="F52" s="33"/>
      <c r="G52" s="33"/>
    </row>
    <row r="53" spans="1:9" outlineLevel="1">
      <c r="B53" s="4" t="s">
        <v>204</v>
      </c>
      <c r="C53" s="47">
        <f>I43*(1+C5)/(C27-C5)</f>
        <v>39.975531780900702</v>
      </c>
      <c r="E53" s="33" t="s">
        <v>204</v>
      </c>
      <c r="F53" s="33"/>
      <c r="G53" s="82">
        <f>I36*C6</f>
        <v>45.146366782006901</v>
      </c>
    </row>
    <row r="54" spans="1:9" outlineLevel="1">
      <c r="B54" s="4" t="s">
        <v>205</v>
      </c>
      <c r="C54" s="47">
        <f>C53*I46</f>
        <v>23.694701874631601</v>
      </c>
      <c r="E54" s="33" t="s">
        <v>205</v>
      </c>
      <c r="F54" s="33"/>
      <c r="G54" s="82">
        <f>G53*I46</f>
        <v>26.759611541515898</v>
      </c>
    </row>
    <row r="55" spans="1:9" outlineLevel="1">
      <c r="B55" s="4" t="s">
        <v>206</v>
      </c>
      <c r="C55" s="47">
        <f>I49</f>
        <v>8.7059024231337006</v>
      </c>
      <c r="E55" s="33" t="s">
        <v>206</v>
      </c>
      <c r="F55" s="33"/>
      <c r="G55" s="82">
        <f>I49</f>
        <v>8.7059024231337006</v>
      </c>
    </row>
    <row r="56" spans="1:9" outlineLevel="1">
      <c r="B56" s="15" t="s">
        <v>207</v>
      </c>
      <c r="C56" s="80">
        <f>C54+C55</f>
        <v>32.400604297765298</v>
      </c>
      <c r="E56" s="71" t="s">
        <v>207</v>
      </c>
      <c r="F56" s="71"/>
      <c r="G56" s="83">
        <f>G54+G55</f>
        <v>35.465513964649602</v>
      </c>
    </row>
    <row r="57" spans="1:9" outlineLevel="1">
      <c r="B57" s="4" t="s">
        <v>208</v>
      </c>
      <c r="C57" s="47">
        <f>I36</f>
        <v>5.4935999999999998</v>
      </c>
      <c r="E57" s="33" t="s">
        <v>208</v>
      </c>
      <c r="F57" s="33"/>
      <c r="G57" s="82">
        <f>I36</f>
        <v>5.4935999999999998</v>
      </c>
    </row>
    <row r="58" spans="1:9" outlineLevel="1">
      <c r="B58" s="15" t="s">
        <v>209</v>
      </c>
      <c r="C58" s="84">
        <f>C56/C57</f>
        <v>5.8978819531391702</v>
      </c>
      <c r="E58" s="71" t="s">
        <v>209</v>
      </c>
      <c r="F58" s="85"/>
      <c r="G58" s="86">
        <f>G56/G57</f>
        <v>6.4557874553388697</v>
      </c>
    </row>
    <row r="59" spans="1:9" outlineLevel="1"/>
    <row r="60" spans="1:9" ht="3.9" customHeight="1"/>
    <row r="61" spans="1:9" s="32" customFormat="1">
      <c r="A61" s="35" t="s">
        <v>174</v>
      </c>
      <c r="B61" s="1" t="s">
        <v>169</v>
      </c>
    </row>
    <row r="62" spans="1:9" outlineLevel="1"/>
    <row r="63" spans="1:9" outlineLevel="1">
      <c r="B63" s="60"/>
      <c r="C63" s="60"/>
      <c r="D63" s="60"/>
      <c r="E63" s="60">
        <v>46387</v>
      </c>
      <c r="F63" s="60">
        <v>46752</v>
      </c>
      <c r="G63" s="60">
        <v>47118</v>
      </c>
      <c r="H63" s="60">
        <v>47483</v>
      </c>
      <c r="I63" s="60">
        <v>47848</v>
      </c>
    </row>
    <row r="64" spans="1:9" outlineLevel="1">
      <c r="B64" s="4" t="s">
        <v>91</v>
      </c>
      <c r="E64" s="47">
        <f>LBO!F141</f>
        <v>15.9998736395442</v>
      </c>
      <c r="F64" s="47">
        <f>LBO!G141</f>
        <v>16.787434389017299</v>
      </c>
      <c r="G64" s="47">
        <f>LBO!H141</f>
        <v>17.6894654991519</v>
      </c>
      <c r="H64" s="47">
        <f>LBO!I141</f>
        <v>18.717414006014199</v>
      </c>
      <c r="I64" s="47">
        <f>LBO!J141</f>
        <v>19.883871649277101</v>
      </c>
    </row>
    <row r="65" spans="1:9" outlineLevel="1">
      <c r="B65" s="4" t="s">
        <v>157</v>
      </c>
      <c r="E65" s="47">
        <f>LBO!F153</f>
        <v>2441204.22504741</v>
      </c>
      <c r="F65" s="47">
        <f>LBO!G153</f>
        <v>3700385.6784154102</v>
      </c>
      <c r="G65" s="47">
        <f>LBO!H153</f>
        <v>5085486.5548610901</v>
      </c>
      <c r="H65" s="47">
        <f>LBO!I153</f>
        <v>6609094.98136112</v>
      </c>
      <c r="I65" s="47">
        <f>LBO!J153</f>
        <v>0</v>
      </c>
    </row>
    <row r="66" spans="1:9" outlineLevel="1">
      <c r="B66" s="4" t="s">
        <v>210</v>
      </c>
      <c r="E66" s="39">
        <f>E64/E65</f>
        <v>6.5540905899560801E-6</v>
      </c>
      <c r="F66" s="39">
        <f>F64/F65</f>
        <v>4.5366715385748702E-6</v>
      </c>
      <c r="G66" s="39">
        <f>G64/G65</f>
        <v>3.47842144666432E-6</v>
      </c>
      <c r="H66" s="39">
        <f>H64/H65</f>
        <v>2.8320691499820798E-6</v>
      </c>
      <c r="I66" s="39" t="e">
        <f>I64/I65</f>
        <v>#DIV/0!</v>
      </c>
    </row>
    <row r="67" spans="1:9" outlineLevel="1">
      <c r="I67" s="87"/>
    </row>
    <row r="68" spans="1:9" ht="3.9" customHeight="1"/>
    <row r="69" spans="1:9" s="32" customFormat="1">
      <c r="A69" s="35" t="s">
        <v>174</v>
      </c>
      <c r="B69" s="1" t="s">
        <v>172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2"/>
  <sheetViews>
    <sheetView showGridLines="0" workbookViewId="0">
      <selection activeCell="H39" sqref="H39"/>
    </sheetView>
  </sheetViews>
  <sheetFormatPr defaultColWidth="9.109375" defaultRowHeight="10.8"/>
  <cols>
    <col min="1" max="1" width="1.77734375" style="4" customWidth="1"/>
    <col min="2" max="2" width="22" style="4" customWidth="1"/>
    <col min="3" max="3" width="9.109375" style="4" customWidth="1"/>
    <col min="4" max="4" width="12.6640625" style="4" customWidth="1"/>
    <col min="5" max="5" width="13.21875" style="4" customWidth="1"/>
    <col min="6" max="7" width="12.88671875" style="4" customWidth="1"/>
    <col min="8" max="12" width="9.109375" style="4" customWidth="1"/>
    <col min="13" max="13" width="7.109375" style="18" customWidth="1"/>
    <col min="14" max="14" width="89.109375" style="4" customWidth="1"/>
    <col min="15" max="15" width="9.109375" style="4" customWidth="1"/>
    <col min="16" max="16384" width="9.109375" style="4"/>
  </cols>
  <sheetData>
    <row r="1" spans="2:14" s="1" customFormat="1" ht="2.1" customHeight="1">
      <c r="M1" s="6"/>
    </row>
    <row r="2" spans="2:14" s="1" customFormat="1" ht="15" customHeight="1">
      <c r="B2" s="5" t="s">
        <v>211</v>
      </c>
      <c r="M2" s="6"/>
    </row>
    <row r="4" spans="2:14">
      <c r="B4" s="4" t="s">
        <v>0</v>
      </c>
      <c r="C4" s="19" t="s">
        <v>1</v>
      </c>
    </row>
    <row r="5" spans="2:14">
      <c r="B5" s="4" t="s">
        <v>2</v>
      </c>
      <c r="C5" s="20" t="s">
        <v>3</v>
      </c>
    </row>
    <row r="7" spans="2:14">
      <c r="B7" s="1"/>
      <c r="C7" s="1"/>
      <c r="D7" s="1"/>
      <c r="E7" s="1"/>
      <c r="F7" s="1"/>
      <c r="G7" s="1"/>
      <c r="H7" s="1"/>
      <c r="I7" s="1"/>
      <c r="J7" s="1"/>
      <c r="K7" s="1" t="s">
        <v>212</v>
      </c>
      <c r="L7" s="1"/>
      <c r="M7" s="6"/>
      <c r="N7" s="1"/>
    </row>
    <row r="8" spans="2:14" s="17" customFormat="1" ht="21.6">
      <c r="B8" s="21"/>
      <c r="C8" s="6" t="s">
        <v>213</v>
      </c>
      <c r="D8" s="6" t="s">
        <v>214</v>
      </c>
      <c r="E8" s="22" t="s">
        <v>215</v>
      </c>
      <c r="F8" s="22" t="s">
        <v>92</v>
      </c>
      <c r="G8" s="22" t="s">
        <v>92</v>
      </c>
      <c r="H8" s="22" t="s">
        <v>216</v>
      </c>
      <c r="I8" s="9" t="s">
        <v>5</v>
      </c>
      <c r="J8" s="9" t="s">
        <v>6</v>
      </c>
      <c r="K8" s="9" t="s">
        <v>5</v>
      </c>
      <c r="L8" s="9" t="s">
        <v>6</v>
      </c>
      <c r="M8" s="23" t="s">
        <v>217</v>
      </c>
      <c r="N8" s="6" t="s">
        <v>218</v>
      </c>
    </row>
    <row r="9" spans="2:14">
      <c r="B9" s="21" t="s">
        <v>219</v>
      </c>
      <c r="C9" s="1"/>
      <c r="D9" s="1" t="s">
        <v>220</v>
      </c>
      <c r="E9" s="22" t="s">
        <v>221</v>
      </c>
      <c r="F9" s="22" t="s">
        <v>222</v>
      </c>
      <c r="G9" s="22" t="s">
        <v>91</v>
      </c>
      <c r="H9" s="22" t="s">
        <v>223</v>
      </c>
      <c r="I9" s="22" t="s">
        <v>224</v>
      </c>
      <c r="J9" s="22" t="s">
        <v>224</v>
      </c>
      <c r="K9" s="22" t="s">
        <v>224</v>
      </c>
      <c r="L9" s="22" t="s">
        <v>224</v>
      </c>
      <c r="M9" s="6"/>
      <c r="N9" s="1"/>
    </row>
    <row r="11" spans="2:14">
      <c r="B11" s="4" t="s">
        <v>225</v>
      </c>
      <c r="C11" s="24">
        <v>3.722</v>
      </c>
      <c r="D11" s="25">
        <v>237.62</v>
      </c>
      <c r="E11" s="26">
        <f t="shared" ref="E11:E24" si="0">C11*D11</f>
        <v>884.42164000000002</v>
      </c>
      <c r="F11" s="27">
        <v>113</v>
      </c>
      <c r="G11" s="27">
        <v>1.94</v>
      </c>
      <c r="H11" s="26">
        <f t="shared" ref="H11:H24" si="1">E11-F11+G11</f>
        <v>773.36163999999997</v>
      </c>
      <c r="I11" s="27">
        <v>217</v>
      </c>
      <c r="J11" s="28">
        <v>68.64</v>
      </c>
      <c r="K11" s="29">
        <f t="shared" ref="K11:K24" si="2">IF(I11&gt;0,H11/I11,"-")</f>
        <v>3.5638785253456202</v>
      </c>
      <c r="L11" s="29">
        <f t="shared" ref="L11:L24" si="3">IF(J11&lt;&gt;"",H11/J11,"-")</f>
        <v>11.266923659673701</v>
      </c>
      <c r="M11" s="18" t="s">
        <v>226</v>
      </c>
      <c r="N11" s="4" t="s">
        <v>227</v>
      </c>
    </row>
    <row r="12" spans="2:14">
      <c r="B12" s="4" t="s">
        <v>228</v>
      </c>
      <c r="C12" s="24">
        <v>28.46</v>
      </c>
      <c r="D12" s="25">
        <v>106.24</v>
      </c>
      <c r="E12" s="26">
        <f t="shared" si="0"/>
        <v>3023.5904</v>
      </c>
      <c r="F12" s="27">
        <v>489.6</v>
      </c>
      <c r="G12" s="27">
        <v>136.9</v>
      </c>
      <c r="H12" s="26">
        <f t="shared" si="1"/>
        <v>2670.8904000000002</v>
      </c>
      <c r="I12" s="27">
        <v>6965</v>
      </c>
      <c r="J12" s="28">
        <v>237</v>
      </c>
      <c r="K12" s="29">
        <f t="shared" si="2"/>
        <v>0.38347313711414199</v>
      </c>
      <c r="L12" s="29">
        <f t="shared" si="3"/>
        <v>11.269579746835401</v>
      </c>
      <c r="M12" s="18" t="s">
        <v>226</v>
      </c>
      <c r="N12" s="4" t="s">
        <v>229</v>
      </c>
    </row>
    <row r="13" spans="2:14">
      <c r="B13" s="4" t="s">
        <v>230</v>
      </c>
      <c r="C13" s="24">
        <v>1.2262999999999999</v>
      </c>
      <c r="D13" s="25">
        <v>109.72</v>
      </c>
      <c r="E13" s="26">
        <f t="shared" si="0"/>
        <v>134.54963599999999</v>
      </c>
      <c r="F13" s="27">
        <v>41</v>
      </c>
      <c r="G13" s="27">
        <v>22</v>
      </c>
      <c r="H13" s="26">
        <f t="shared" si="1"/>
        <v>115.54963600000001</v>
      </c>
      <c r="I13" s="27">
        <v>258</v>
      </c>
      <c r="J13" s="28">
        <v>27</v>
      </c>
      <c r="K13" s="29">
        <f t="shared" si="2"/>
        <v>0.44786680620155001</v>
      </c>
      <c r="L13" s="29">
        <f t="shared" si="3"/>
        <v>4.2796161481481496</v>
      </c>
      <c r="M13" s="18" t="s">
        <v>226</v>
      </c>
      <c r="N13" s="4" t="s">
        <v>231</v>
      </c>
    </row>
    <row r="14" spans="2:14">
      <c r="B14" s="4" t="s">
        <v>232</v>
      </c>
      <c r="C14" s="24">
        <v>15.8</v>
      </c>
      <c r="D14" s="25">
        <v>199.95</v>
      </c>
      <c r="E14" s="26">
        <f t="shared" si="0"/>
        <v>3159.21</v>
      </c>
      <c r="F14" s="27">
        <v>182</v>
      </c>
      <c r="G14" s="27">
        <v>0</v>
      </c>
      <c r="H14" s="26">
        <f t="shared" si="1"/>
        <v>2977.21</v>
      </c>
      <c r="I14" s="27">
        <v>1458</v>
      </c>
      <c r="J14" s="28">
        <v>173.21</v>
      </c>
      <c r="K14" s="29">
        <f t="shared" si="2"/>
        <v>2.0419821673525398</v>
      </c>
      <c r="L14" s="29">
        <f t="shared" si="3"/>
        <v>17.188441775878999</v>
      </c>
      <c r="M14" s="18" t="s">
        <v>226</v>
      </c>
      <c r="N14" s="4" t="s">
        <v>233</v>
      </c>
    </row>
    <row r="15" spans="2:14">
      <c r="B15" s="4" t="s">
        <v>234</v>
      </c>
      <c r="C15" s="24">
        <v>0.14000000000000001</v>
      </c>
      <c r="D15" s="25">
        <v>92.97</v>
      </c>
      <c r="E15" s="26">
        <f t="shared" si="0"/>
        <v>13.0158</v>
      </c>
      <c r="F15" s="27">
        <v>4.6500000000000004</v>
      </c>
      <c r="G15" s="27">
        <v>14</v>
      </c>
      <c r="H15" s="26">
        <f t="shared" si="1"/>
        <v>22.3658</v>
      </c>
      <c r="I15" s="27">
        <v>77</v>
      </c>
      <c r="J15" s="28">
        <v>-2.36</v>
      </c>
      <c r="K15" s="29">
        <f t="shared" si="2"/>
        <v>0.29046493506493498</v>
      </c>
      <c r="L15" s="29">
        <f t="shared" si="3"/>
        <v>-9.4770338983050895</v>
      </c>
      <c r="M15" s="18" t="s">
        <v>226</v>
      </c>
      <c r="N15" s="4" t="s">
        <v>235</v>
      </c>
    </row>
    <row r="16" spans="2:14">
      <c r="B16" s="4" t="s">
        <v>236</v>
      </c>
      <c r="C16" s="24">
        <v>9.3800000000000008</v>
      </c>
      <c r="D16" s="25">
        <v>119.23</v>
      </c>
      <c r="E16" s="26">
        <f t="shared" si="0"/>
        <v>1118.3774000000001</v>
      </c>
      <c r="F16" s="27">
        <v>134</v>
      </c>
      <c r="G16" s="27">
        <v>5.56</v>
      </c>
      <c r="H16" s="26">
        <f t="shared" si="1"/>
        <v>989.93740000000003</v>
      </c>
      <c r="I16" s="27">
        <v>367</v>
      </c>
      <c r="J16" s="28">
        <v>43</v>
      </c>
      <c r="K16" s="29">
        <f t="shared" si="2"/>
        <v>2.6973771117166199</v>
      </c>
      <c r="L16" s="29">
        <f t="shared" si="3"/>
        <v>23.021799999999999</v>
      </c>
      <c r="M16" s="18" t="s">
        <v>226</v>
      </c>
      <c r="N16" s="4" t="s">
        <v>237</v>
      </c>
    </row>
    <row r="17" spans="2:14">
      <c r="B17" s="4" t="s">
        <v>238</v>
      </c>
      <c r="C17" s="24">
        <v>14.03</v>
      </c>
      <c r="D17" s="25">
        <v>29.5</v>
      </c>
      <c r="E17" s="26">
        <f t="shared" si="0"/>
        <v>413.88499999999999</v>
      </c>
      <c r="F17" s="27">
        <v>30</v>
      </c>
      <c r="G17" s="27">
        <v>2.8</v>
      </c>
      <c r="H17" s="26">
        <f t="shared" si="1"/>
        <v>386.685</v>
      </c>
      <c r="I17" s="27">
        <v>44</v>
      </c>
      <c r="J17" s="28">
        <v>18</v>
      </c>
      <c r="K17" s="29">
        <f t="shared" si="2"/>
        <v>8.7882954545454606</v>
      </c>
      <c r="L17" s="29">
        <f t="shared" si="3"/>
        <v>21.482500000000002</v>
      </c>
      <c r="M17" s="18" t="s">
        <v>226</v>
      </c>
      <c r="N17" s="4" t="s">
        <v>239</v>
      </c>
    </row>
    <row r="18" spans="2:14">
      <c r="B18" s="4" t="s">
        <v>240</v>
      </c>
      <c r="C18" s="24">
        <v>0.70920000000000005</v>
      </c>
      <c r="D18" s="25">
        <v>307.8</v>
      </c>
      <c r="E18" s="26">
        <f t="shared" si="0"/>
        <v>218.29176000000001</v>
      </c>
      <c r="F18" s="27">
        <v>36</v>
      </c>
      <c r="G18" s="27">
        <v>1.78</v>
      </c>
      <c r="H18" s="26">
        <f t="shared" si="1"/>
        <v>184.07176000000001</v>
      </c>
      <c r="I18" s="27">
        <v>79</v>
      </c>
      <c r="J18" s="28">
        <v>22</v>
      </c>
      <c r="K18" s="29">
        <f t="shared" si="2"/>
        <v>2.3300222784810098</v>
      </c>
      <c r="L18" s="29">
        <f t="shared" si="3"/>
        <v>8.3668981818181791</v>
      </c>
      <c r="M18" s="18" t="s">
        <v>226</v>
      </c>
      <c r="N18" s="4" t="s">
        <v>241</v>
      </c>
    </row>
    <row r="19" spans="2:14">
      <c r="B19" s="4" t="s">
        <v>242</v>
      </c>
      <c r="C19" s="24">
        <v>0.70750000000000002</v>
      </c>
      <c r="D19" s="25">
        <v>461.68</v>
      </c>
      <c r="E19" s="26">
        <f t="shared" si="0"/>
        <v>326.6386</v>
      </c>
      <c r="F19" s="27">
        <v>12</v>
      </c>
      <c r="G19" s="27">
        <v>24</v>
      </c>
      <c r="H19" s="26">
        <f t="shared" si="1"/>
        <v>338.6386</v>
      </c>
      <c r="I19" s="27">
        <v>88</v>
      </c>
      <c r="J19" s="28">
        <v>22</v>
      </c>
      <c r="K19" s="29">
        <f t="shared" si="2"/>
        <v>3.8481659090909099</v>
      </c>
      <c r="L19" s="29">
        <f t="shared" si="3"/>
        <v>15.392663636363601</v>
      </c>
      <c r="M19" s="18" t="s">
        <v>226</v>
      </c>
      <c r="N19" s="4" t="s">
        <v>243</v>
      </c>
    </row>
    <row r="20" spans="2:14">
      <c r="B20" s="4" t="s">
        <v>244</v>
      </c>
      <c r="C20" s="24">
        <v>9.66</v>
      </c>
      <c r="D20" s="25">
        <v>92.17</v>
      </c>
      <c r="E20" s="26">
        <f t="shared" si="0"/>
        <v>890.36220000000003</v>
      </c>
      <c r="F20" s="27">
        <v>154</v>
      </c>
      <c r="G20" s="27">
        <v>7.9</v>
      </c>
      <c r="H20" s="26">
        <f t="shared" si="1"/>
        <v>744.26220000000001</v>
      </c>
      <c r="I20" s="27">
        <v>579</v>
      </c>
      <c r="J20" s="28">
        <v>124</v>
      </c>
      <c r="K20" s="29">
        <f t="shared" si="2"/>
        <v>1.2854269430051799</v>
      </c>
      <c r="L20" s="29">
        <f t="shared" si="3"/>
        <v>6.0021145161290299</v>
      </c>
      <c r="M20" s="18" t="s">
        <v>226</v>
      </c>
      <c r="N20" s="4" t="s">
        <v>245</v>
      </c>
    </row>
    <row r="21" spans="2:14">
      <c r="B21" s="4" t="s">
        <v>246</v>
      </c>
      <c r="C21" s="24">
        <v>0.46289999999999998</v>
      </c>
      <c r="D21" s="25">
        <v>246.18</v>
      </c>
      <c r="E21" s="26">
        <f t="shared" si="0"/>
        <v>113.956722</v>
      </c>
      <c r="F21" s="27">
        <v>88</v>
      </c>
      <c r="G21" s="27">
        <v>189</v>
      </c>
      <c r="H21" s="26">
        <f t="shared" si="1"/>
        <v>214.95672200000001</v>
      </c>
      <c r="I21" s="27">
        <v>803</v>
      </c>
      <c r="J21" s="28">
        <v>50.2</v>
      </c>
      <c r="K21" s="29">
        <f t="shared" si="2"/>
        <v>0.26769205728518097</v>
      </c>
      <c r="L21" s="29">
        <f t="shared" si="3"/>
        <v>4.2820064143426304</v>
      </c>
      <c r="M21" s="18" t="s">
        <v>226</v>
      </c>
      <c r="N21" s="4" t="s">
        <v>247</v>
      </c>
    </row>
    <row r="22" spans="2:14">
      <c r="B22" s="4" t="s">
        <v>248</v>
      </c>
      <c r="C22" s="24">
        <v>1.4637880000000001</v>
      </c>
      <c r="D22" s="25">
        <v>9.81</v>
      </c>
      <c r="E22" s="26">
        <f t="shared" si="0"/>
        <v>14.35976028</v>
      </c>
      <c r="F22" s="27">
        <v>5.5729759999999997</v>
      </c>
      <c r="G22" s="27">
        <v>4.3031839999999999</v>
      </c>
      <c r="H22" s="26">
        <f t="shared" si="1"/>
        <v>13.089968280000001</v>
      </c>
      <c r="I22" s="27">
        <v>15.872400000000001</v>
      </c>
      <c r="J22" s="28">
        <v>20.669391999999998</v>
      </c>
      <c r="K22" s="29">
        <f t="shared" si="2"/>
        <v>0.82469999999999999</v>
      </c>
      <c r="L22" s="29">
        <f t="shared" si="3"/>
        <v>0.63330204778156995</v>
      </c>
      <c r="M22" s="18" t="s">
        <v>249</v>
      </c>
      <c r="N22" s="4" t="s">
        <v>250</v>
      </c>
    </row>
    <row r="23" spans="2:14">
      <c r="B23" s="4" t="s">
        <v>251</v>
      </c>
      <c r="C23" s="24">
        <v>131</v>
      </c>
      <c r="D23" s="25">
        <v>20.55</v>
      </c>
      <c r="E23" s="26">
        <f t="shared" si="0"/>
        <v>2692.05</v>
      </c>
      <c r="F23" s="27">
        <v>373.00139999999999</v>
      </c>
      <c r="G23" s="27">
        <v>1087.2593999999999</v>
      </c>
      <c r="H23" s="26">
        <f t="shared" si="1"/>
        <v>3406.308</v>
      </c>
      <c r="I23" s="27">
        <v>5094.1585999999998</v>
      </c>
      <c r="J23" s="28">
        <v>598.74220000000003</v>
      </c>
      <c r="K23" s="29">
        <f t="shared" si="2"/>
        <v>0.66866940499261296</v>
      </c>
      <c r="L23" s="29">
        <f t="shared" si="3"/>
        <v>5.6891062630961997</v>
      </c>
      <c r="M23" s="18" t="s">
        <v>252</v>
      </c>
      <c r="N23" s="4" t="s">
        <v>253</v>
      </c>
    </row>
    <row r="24" spans="2:14">
      <c r="B24" s="4" t="s">
        <v>254</v>
      </c>
      <c r="C24" s="24">
        <v>43.499194000000003</v>
      </c>
      <c r="D24" s="25">
        <v>19.38</v>
      </c>
      <c r="E24" s="26">
        <f t="shared" si="0"/>
        <v>843.01437971999997</v>
      </c>
      <c r="F24" s="27">
        <v>1533.4502</v>
      </c>
      <c r="G24" s="27">
        <v>2478.7397999999998</v>
      </c>
      <c r="H24" s="26">
        <f t="shared" si="1"/>
        <v>1788.3039797199999</v>
      </c>
      <c r="I24" s="27">
        <v>8444.9986000000008</v>
      </c>
      <c r="J24" s="28">
        <v>2478.7397999999998</v>
      </c>
      <c r="K24" s="29">
        <f t="shared" si="2"/>
        <v>0.21175894330166001</v>
      </c>
      <c r="L24" s="29">
        <f t="shared" si="3"/>
        <v>0.72145691924582001</v>
      </c>
      <c r="M24" s="18" t="s">
        <v>252</v>
      </c>
      <c r="N24" s="4" t="s">
        <v>255</v>
      </c>
    </row>
    <row r="25" spans="2:14">
      <c r="C25" s="24"/>
      <c r="D25" s="25"/>
      <c r="E25" s="26"/>
      <c r="F25" s="27"/>
      <c r="G25" s="27"/>
      <c r="H25" s="26"/>
      <c r="I25" s="27"/>
      <c r="J25" s="28"/>
      <c r="K25" s="29"/>
      <c r="L25" s="29"/>
    </row>
    <row r="26" spans="2:14">
      <c r="B26" s="11" t="s">
        <v>256</v>
      </c>
      <c r="C26" s="11"/>
      <c r="D26" s="11"/>
      <c r="E26" s="11"/>
      <c r="F26" s="11"/>
      <c r="G26" s="11"/>
      <c r="H26" s="11"/>
      <c r="I26" s="11"/>
      <c r="J26" s="11"/>
      <c r="K26" s="12">
        <v>0.4</v>
      </c>
      <c r="L26" s="12">
        <v>4.28</v>
      </c>
    </row>
    <row r="27" spans="2:14">
      <c r="B27" s="13" t="s">
        <v>30</v>
      </c>
      <c r="C27" s="13"/>
      <c r="D27" s="13"/>
      <c r="E27" s="13"/>
      <c r="F27" s="13"/>
      <c r="G27" s="13"/>
      <c r="H27" s="13"/>
      <c r="I27" s="13"/>
      <c r="J27" s="13"/>
      <c r="K27" s="14">
        <v>1.06</v>
      </c>
      <c r="L27" s="14">
        <v>8.3699999999999992</v>
      </c>
    </row>
    <row r="28" spans="2:14">
      <c r="B28" s="15" t="s">
        <v>257</v>
      </c>
      <c r="C28" s="15"/>
      <c r="D28" s="15"/>
      <c r="E28" s="15"/>
      <c r="F28" s="15"/>
      <c r="G28" s="15"/>
      <c r="H28" s="15"/>
      <c r="I28" s="15"/>
      <c r="J28" s="15"/>
      <c r="K28" s="16">
        <v>2.61</v>
      </c>
      <c r="L28" s="16">
        <v>15.39</v>
      </c>
    </row>
    <row r="30" spans="2:14">
      <c r="B30" s="30" t="s">
        <v>258</v>
      </c>
      <c r="C30" s="31">
        <v>0.88180000000000003</v>
      </c>
    </row>
    <row r="31" spans="2:14">
      <c r="B31" s="30" t="s">
        <v>259</v>
      </c>
    </row>
    <row r="32" spans="2:14">
      <c r="B32" s="30" t="s">
        <v>260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25"/>
  <sheetViews>
    <sheetView showGridLines="0" workbookViewId="0">
      <selection activeCell="F34" sqref="F34:F35"/>
    </sheetView>
  </sheetViews>
  <sheetFormatPr defaultColWidth="9.109375" defaultRowHeight="10.8"/>
  <cols>
    <col min="1" max="1" width="1.77734375" style="4" customWidth="1"/>
    <col min="2" max="2" width="9.109375" style="4" customWidth="1"/>
    <col min="3" max="3" width="27.109375" style="4" customWidth="1"/>
    <col min="4" max="4" width="12" style="4" customWidth="1"/>
    <col min="5" max="5" width="19" style="4" customWidth="1"/>
    <col min="6" max="6" width="9.33203125" style="4" customWidth="1"/>
    <col min="7" max="7" width="8" style="4" customWidth="1"/>
    <col min="8" max="10" width="9.33203125" style="4" customWidth="1"/>
    <col min="11" max="11" width="32.77734375" style="4" customWidth="1"/>
    <col min="12" max="12" width="9.109375" style="4" customWidth="1"/>
    <col min="13" max="16384" width="9.109375" style="4"/>
  </cols>
  <sheetData>
    <row r="1" spans="2:13" s="1" customFormat="1" ht="15" customHeight="1">
      <c r="B1" s="5" t="s">
        <v>261</v>
      </c>
      <c r="M1" s="6"/>
    </row>
    <row r="2" spans="2:13" s="2" customFormat="1" ht="3.9" customHeight="1">
      <c r="B2" s="7"/>
      <c r="M2" s="8"/>
    </row>
    <row r="3" spans="2:13" s="3" customFormat="1" ht="36" customHeight="1">
      <c r="B3" s="9" t="s">
        <v>262</v>
      </c>
      <c r="C3" s="9" t="s">
        <v>263</v>
      </c>
      <c r="D3" s="9" t="s">
        <v>264</v>
      </c>
      <c r="E3" s="9" t="s">
        <v>265</v>
      </c>
      <c r="F3" s="9" t="s">
        <v>266</v>
      </c>
      <c r="G3" s="9" t="s">
        <v>267</v>
      </c>
      <c r="H3" s="9" t="s">
        <v>268</v>
      </c>
      <c r="I3" s="9" t="s">
        <v>269</v>
      </c>
      <c r="J3" s="9" t="s">
        <v>270</v>
      </c>
      <c r="K3" s="9" t="s">
        <v>271</v>
      </c>
    </row>
    <row r="4" spans="2:13">
      <c r="B4" s="4">
        <v>2025</v>
      </c>
      <c r="C4" s="4" t="s">
        <v>272</v>
      </c>
      <c r="D4" s="4" t="s">
        <v>226</v>
      </c>
      <c r="E4" s="4" t="s">
        <v>232</v>
      </c>
      <c r="F4" s="4">
        <v>8</v>
      </c>
      <c r="G4" s="4">
        <v>10</v>
      </c>
      <c r="H4" s="4">
        <v>1.8</v>
      </c>
      <c r="I4" s="10">
        <f t="shared" ref="I4:I21" si="0">IF(ISNUMBER(F4),F4/G4,"Undisclosed")</f>
        <v>0.8</v>
      </c>
      <c r="J4" s="10">
        <f t="shared" ref="J4:J21" si="1">IF(AND(ISNUMBER(F4),ISNUMBER(H4)),F4/H4,"Undisclosed")</f>
        <v>4.4444444444444402</v>
      </c>
      <c r="K4" s="4" t="s">
        <v>273</v>
      </c>
    </row>
    <row r="5" spans="2:13">
      <c r="B5" s="4">
        <v>2025</v>
      </c>
      <c r="C5" s="4" t="s">
        <v>274</v>
      </c>
      <c r="D5" s="4" t="s">
        <v>226</v>
      </c>
      <c r="E5" s="4" t="s">
        <v>275</v>
      </c>
      <c r="F5" s="4">
        <v>65.599999999999994</v>
      </c>
      <c r="G5" s="4">
        <v>23</v>
      </c>
      <c r="H5" s="4">
        <v>4</v>
      </c>
      <c r="I5" s="10">
        <f t="shared" si="0"/>
        <v>2.85217391304348</v>
      </c>
      <c r="J5" s="10">
        <f t="shared" si="1"/>
        <v>16.399999999999999</v>
      </c>
      <c r="K5" s="4" t="s">
        <v>276</v>
      </c>
    </row>
    <row r="6" spans="2:13">
      <c r="B6" s="4">
        <v>2020</v>
      </c>
      <c r="C6" s="4" t="s">
        <v>277</v>
      </c>
      <c r="D6" s="4" t="s">
        <v>226</v>
      </c>
      <c r="E6" s="4" t="s">
        <v>278</v>
      </c>
      <c r="F6" s="4">
        <v>107</v>
      </c>
      <c r="G6" s="4">
        <v>60</v>
      </c>
      <c r="H6" s="4">
        <v>2</v>
      </c>
      <c r="I6" s="10">
        <f t="shared" si="0"/>
        <v>1.7833333333333301</v>
      </c>
      <c r="J6" s="10">
        <f t="shared" si="1"/>
        <v>53.5</v>
      </c>
      <c r="K6" s="4" t="s">
        <v>279</v>
      </c>
    </row>
    <row r="7" spans="2:13">
      <c r="B7" s="4">
        <v>2024</v>
      </c>
      <c r="C7" s="4" t="s">
        <v>280</v>
      </c>
      <c r="D7" s="4" t="s">
        <v>226</v>
      </c>
      <c r="E7" s="4" t="s">
        <v>281</v>
      </c>
      <c r="F7" s="4" t="s">
        <v>282</v>
      </c>
      <c r="G7" s="4" t="s">
        <v>283</v>
      </c>
      <c r="H7" s="4" t="s">
        <v>282</v>
      </c>
      <c r="I7" s="4" t="str">
        <f t="shared" si="0"/>
        <v>Undisclosed</v>
      </c>
      <c r="J7" s="4" t="str">
        <f t="shared" si="1"/>
        <v>Undisclosed</v>
      </c>
      <c r="K7" s="4" t="s">
        <v>284</v>
      </c>
    </row>
    <row r="8" spans="2:13">
      <c r="B8" s="4">
        <v>2025</v>
      </c>
      <c r="C8" s="4" t="s">
        <v>285</v>
      </c>
      <c r="D8" s="4" t="s">
        <v>226</v>
      </c>
      <c r="E8" s="4" t="s">
        <v>286</v>
      </c>
      <c r="F8" s="4" t="s">
        <v>282</v>
      </c>
      <c r="G8" s="4" t="s">
        <v>283</v>
      </c>
      <c r="H8" s="4" t="s">
        <v>282</v>
      </c>
      <c r="I8" s="4" t="str">
        <f t="shared" si="0"/>
        <v>Undisclosed</v>
      </c>
      <c r="J8" s="4" t="str">
        <f t="shared" si="1"/>
        <v>Undisclosed</v>
      </c>
      <c r="K8" s="4" t="s">
        <v>287</v>
      </c>
    </row>
    <row r="9" spans="2:13">
      <c r="B9" s="4">
        <v>2025</v>
      </c>
      <c r="C9" s="4" t="s">
        <v>288</v>
      </c>
      <c r="D9" s="4" t="s">
        <v>226</v>
      </c>
      <c r="E9" s="4" t="s">
        <v>289</v>
      </c>
      <c r="F9" s="4" t="s">
        <v>282</v>
      </c>
      <c r="G9" s="4" t="s">
        <v>283</v>
      </c>
      <c r="H9" s="4" t="s">
        <v>282</v>
      </c>
      <c r="I9" s="4" t="str">
        <f t="shared" si="0"/>
        <v>Undisclosed</v>
      </c>
      <c r="J9" s="4" t="str">
        <f t="shared" si="1"/>
        <v>Undisclosed</v>
      </c>
      <c r="K9" s="4" t="s">
        <v>290</v>
      </c>
    </row>
    <row r="10" spans="2:13">
      <c r="B10" s="4">
        <v>2023</v>
      </c>
      <c r="C10" s="4" t="s">
        <v>291</v>
      </c>
      <c r="D10" s="4" t="s">
        <v>226</v>
      </c>
      <c r="E10" s="4" t="s">
        <v>292</v>
      </c>
      <c r="F10" s="4">
        <v>700</v>
      </c>
      <c r="G10" s="4">
        <v>301</v>
      </c>
      <c r="H10" s="4">
        <v>54</v>
      </c>
      <c r="I10" s="10">
        <f t="shared" si="0"/>
        <v>2.32558139534884</v>
      </c>
      <c r="J10" s="10">
        <f t="shared" si="1"/>
        <v>12.962962962962999</v>
      </c>
      <c r="K10" s="4" t="s">
        <v>293</v>
      </c>
    </row>
    <row r="11" spans="2:13">
      <c r="B11" s="4">
        <v>2022</v>
      </c>
      <c r="C11" s="4" t="s">
        <v>294</v>
      </c>
      <c r="D11" s="4" t="s">
        <v>295</v>
      </c>
      <c r="E11" s="4" t="s">
        <v>296</v>
      </c>
      <c r="F11" s="4" t="s">
        <v>282</v>
      </c>
      <c r="G11" s="4" t="s">
        <v>283</v>
      </c>
      <c r="H11" s="4" t="s">
        <v>282</v>
      </c>
      <c r="I11" s="4" t="str">
        <f t="shared" si="0"/>
        <v>Undisclosed</v>
      </c>
      <c r="J11" s="4" t="str">
        <f t="shared" si="1"/>
        <v>Undisclosed</v>
      </c>
      <c r="K11" s="4" t="s">
        <v>297</v>
      </c>
    </row>
    <row r="12" spans="2:13">
      <c r="B12" s="4">
        <v>2022</v>
      </c>
      <c r="C12" s="4" t="s">
        <v>298</v>
      </c>
      <c r="D12" s="4" t="s">
        <v>299</v>
      </c>
      <c r="E12" s="4" t="s">
        <v>296</v>
      </c>
      <c r="F12" s="4" t="s">
        <v>282</v>
      </c>
      <c r="G12" s="4" t="s">
        <v>283</v>
      </c>
      <c r="H12" s="4" t="s">
        <v>282</v>
      </c>
      <c r="I12" s="4" t="str">
        <f t="shared" si="0"/>
        <v>Undisclosed</v>
      </c>
      <c r="J12" s="4" t="str">
        <f t="shared" si="1"/>
        <v>Undisclosed</v>
      </c>
      <c r="K12" s="4" t="s">
        <v>300</v>
      </c>
    </row>
    <row r="13" spans="2:13">
      <c r="B13" s="4">
        <v>2025</v>
      </c>
      <c r="C13" s="4" t="s">
        <v>301</v>
      </c>
      <c r="D13" s="4" t="s">
        <v>226</v>
      </c>
      <c r="E13" s="4" t="s">
        <v>302</v>
      </c>
      <c r="F13" s="4" t="s">
        <v>282</v>
      </c>
      <c r="G13" s="4" t="s">
        <v>283</v>
      </c>
      <c r="H13" s="4" t="s">
        <v>282</v>
      </c>
      <c r="I13" s="4" t="str">
        <f t="shared" si="0"/>
        <v>Undisclosed</v>
      </c>
      <c r="J13" s="4" t="str">
        <f t="shared" si="1"/>
        <v>Undisclosed</v>
      </c>
      <c r="K13" s="4" t="s">
        <v>303</v>
      </c>
    </row>
    <row r="14" spans="2:13">
      <c r="B14" s="4">
        <v>2025</v>
      </c>
      <c r="C14" s="4" t="s">
        <v>304</v>
      </c>
      <c r="D14" s="4" t="s">
        <v>226</v>
      </c>
      <c r="E14" s="4" t="s">
        <v>302</v>
      </c>
      <c r="F14" s="4" t="s">
        <v>282</v>
      </c>
      <c r="G14" s="4" t="s">
        <v>283</v>
      </c>
      <c r="H14" s="4" t="s">
        <v>282</v>
      </c>
      <c r="I14" s="4" t="str">
        <f t="shared" si="0"/>
        <v>Undisclosed</v>
      </c>
      <c r="J14" s="4" t="str">
        <f t="shared" si="1"/>
        <v>Undisclosed</v>
      </c>
      <c r="K14" s="4" t="s">
        <v>305</v>
      </c>
    </row>
    <row r="15" spans="2:13">
      <c r="B15" s="4">
        <v>2025</v>
      </c>
      <c r="C15" s="4" t="s">
        <v>306</v>
      </c>
      <c r="D15" s="4" t="s">
        <v>226</v>
      </c>
      <c r="E15" s="4" t="s">
        <v>307</v>
      </c>
      <c r="F15" s="4" t="s">
        <v>282</v>
      </c>
      <c r="G15" s="4" t="s">
        <v>308</v>
      </c>
      <c r="H15" s="4" t="s">
        <v>282</v>
      </c>
      <c r="I15" s="4" t="str">
        <f t="shared" si="0"/>
        <v>Undisclosed</v>
      </c>
      <c r="J15" s="4" t="str">
        <f t="shared" si="1"/>
        <v>Undisclosed</v>
      </c>
      <c r="K15" s="4" t="s">
        <v>309</v>
      </c>
    </row>
    <row r="16" spans="2:13">
      <c r="B16" s="4">
        <v>2025</v>
      </c>
      <c r="C16" s="4" t="s">
        <v>310</v>
      </c>
      <c r="D16" s="4" t="s">
        <v>226</v>
      </c>
      <c r="E16" s="4" t="s">
        <v>311</v>
      </c>
      <c r="F16" s="4" t="s">
        <v>282</v>
      </c>
      <c r="G16" s="4" t="s">
        <v>308</v>
      </c>
      <c r="H16" s="4" t="s">
        <v>282</v>
      </c>
      <c r="I16" s="4" t="str">
        <f t="shared" si="0"/>
        <v>Undisclosed</v>
      </c>
      <c r="J16" s="4" t="str">
        <f t="shared" si="1"/>
        <v>Undisclosed</v>
      </c>
      <c r="K16" s="4" t="s">
        <v>312</v>
      </c>
    </row>
    <row r="17" spans="2:11">
      <c r="B17" s="4">
        <v>2024</v>
      </c>
      <c r="C17" s="4" t="s">
        <v>313</v>
      </c>
      <c r="D17" s="4" t="s">
        <v>226</v>
      </c>
      <c r="E17" s="4" t="s">
        <v>314</v>
      </c>
      <c r="F17" s="4" t="s">
        <v>282</v>
      </c>
      <c r="G17" s="4" t="s">
        <v>308</v>
      </c>
      <c r="H17" s="4" t="s">
        <v>282</v>
      </c>
      <c r="I17" s="4" t="str">
        <f t="shared" si="0"/>
        <v>Undisclosed</v>
      </c>
      <c r="J17" s="4" t="str">
        <f t="shared" si="1"/>
        <v>Undisclosed</v>
      </c>
      <c r="K17" s="4" t="s">
        <v>315</v>
      </c>
    </row>
    <row r="18" spans="2:11">
      <c r="B18" s="4">
        <v>2024</v>
      </c>
      <c r="C18" s="4" t="s">
        <v>280</v>
      </c>
      <c r="D18" s="4" t="s">
        <v>226</v>
      </c>
      <c r="E18" s="4" t="s">
        <v>281</v>
      </c>
      <c r="F18" s="4" t="s">
        <v>282</v>
      </c>
      <c r="G18" s="4" t="s">
        <v>308</v>
      </c>
      <c r="H18" s="4" t="s">
        <v>282</v>
      </c>
      <c r="I18" s="4" t="str">
        <f t="shared" si="0"/>
        <v>Undisclosed</v>
      </c>
      <c r="J18" s="4" t="str">
        <f t="shared" si="1"/>
        <v>Undisclosed</v>
      </c>
      <c r="K18" s="4" t="s">
        <v>316</v>
      </c>
    </row>
    <row r="19" spans="2:11">
      <c r="B19" s="4">
        <v>2024</v>
      </c>
      <c r="C19" s="4" t="s">
        <v>317</v>
      </c>
      <c r="D19" s="4" t="s">
        <v>226</v>
      </c>
      <c r="E19" s="4" t="s">
        <v>318</v>
      </c>
      <c r="F19" s="4" t="s">
        <v>282</v>
      </c>
      <c r="G19" s="4" t="s">
        <v>283</v>
      </c>
      <c r="H19" s="4" t="s">
        <v>282</v>
      </c>
      <c r="I19" s="4" t="str">
        <f t="shared" si="0"/>
        <v>Undisclosed</v>
      </c>
      <c r="J19" s="4" t="str">
        <f t="shared" si="1"/>
        <v>Undisclosed</v>
      </c>
      <c r="K19" s="4" t="s">
        <v>319</v>
      </c>
    </row>
    <row r="20" spans="2:11">
      <c r="B20" s="4">
        <v>2024</v>
      </c>
      <c r="C20" s="4" t="s">
        <v>320</v>
      </c>
      <c r="D20" s="4" t="s">
        <v>226</v>
      </c>
      <c r="E20" s="4" t="s">
        <v>321</v>
      </c>
      <c r="F20" s="4" t="s">
        <v>282</v>
      </c>
      <c r="G20" s="4" t="s">
        <v>283</v>
      </c>
      <c r="H20" s="4" t="s">
        <v>282</v>
      </c>
      <c r="I20" s="4" t="str">
        <f t="shared" si="0"/>
        <v>Undisclosed</v>
      </c>
      <c r="J20" s="4" t="str">
        <f t="shared" si="1"/>
        <v>Undisclosed</v>
      </c>
      <c r="K20" s="4" t="s">
        <v>322</v>
      </c>
    </row>
    <row r="21" spans="2:11">
      <c r="B21" s="4">
        <v>2024</v>
      </c>
      <c r="C21" s="4" t="s">
        <v>323</v>
      </c>
      <c r="D21" s="4" t="s">
        <v>226</v>
      </c>
      <c r="E21" s="4" t="s">
        <v>314</v>
      </c>
      <c r="F21" s="4" t="s">
        <v>282</v>
      </c>
      <c r="G21" s="4" t="s">
        <v>283</v>
      </c>
      <c r="H21" s="4" t="s">
        <v>282</v>
      </c>
      <c r="I21" s="4" t="str">
        <f t="shared" si="0"/>
        <v>Undisclosed</v>
      </c>
      <c r="J21" s="4" t="str">
        <f t="shared" si="1"/>
        <v>Undisclosed</v>
      </c>
      <c r="K21" s="4" t="s">
        <v>324</v>
      </c>
    </row>
    <row r="23" spans="2:11" ht="14.25" customHeight="1">
      <c r="B23" s="11" t="s">
        <v>256</v>
      </c>
      <c r="C23" s="11"/>
      <c r="D23" s="11"/>
      <c r="E23" s="11"/>
      <c r="F23" s="11"/>
      <c r="G23" s="11"/>
      <c r="H23" s="11"/>
      <c r="I23" s="12">
        <v>1.54</v>
      </c>
      <c r="J23" s="12">
        <v>10.83</v>
      </c>
    </row>
    <row r="24" spans="2:11" ht="14.25" customHeight="1">
      <c r="B24" s="13" t="s">
        <v>30</v>
      </c>
      <c r="C24" s="13"/>
      <c r="D24" s="13"/>
      <c r="E24" s="13"/>
      <c r="F24" s="13"/>
      <c r="G24" s="13"/>
      <c r="H24" s="13"/>
      <c r="I24" s="14">
        <v>2.0499999999999998</v>
      </c>
      <c r="J24" s="14">
        <v>14.68</v>
      </c>
    </row>
    <row r="25" spans="2:11" ht="14.25" customHeight="1">
      <c r="B25" s="15" t="s">
        <v>257</v>
      </c>
      <c r="C25" s="15"/>
      <c r="D25" s="15"/>
      <c r="E25" s="15"/>
      <c r="F25" s="15"/>
      <c r="G25" s="15"/>
      <c r="H25" s="15"/>
      <c r="I25" s="16">
        <v>2.46</v>
      </c>
      <c r="J25" s="16">
        <v>25.67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LDN</vt:lpstr>
      <vt:lpstr>Valuation Summary</vt:lpstr>
      <vt:lpstr>LBO</vt:lpstr>
      <vt:lpstr>DCF</vt:lpstr>
      <vt:lpstr>Public Comps</vt:lpstr>
      <vt:lpstr>Precedent Transactions</vt:lpstr>
      <vt:lpstr>Circularity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Lee</cp:lastModifiedBy>
  <dcterms:created xsi:type="dcterms:W3CDTF">2026-01-31T03:30:00Z</dcterms:created>
  <dcterms:modified xsi:type="dcterms:W3CDTF">2026-07-12T01:02:30Z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05EA54CEC03B4453B412B3BC093BC122_13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