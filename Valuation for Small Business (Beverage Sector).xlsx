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初级会计题库\"/>
    </mc:Choice>
  </mc:AlternateContent>
  <xr:revisionPtr revIDLastSave="0" documentId="13_ncr:1_{558EBB23-DA6F-420D-B241-121F0F07A27C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original " sheetId="1" r:id="rId1"/>
    <sheet name="editing" sheetId="3" r:id="rId2"/>
    <sheet name="new version" sheetId="5" r:id="rId3"/>
    <sheet name="SME Valuation (blank)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3" i="9" l="1"/>
  <c r="E163" i="9"/>
  <c r="F163" i="9"/>
  <c r="G163" i="9" s="1"/>
  <c r="H163" i="9" s="1"/>
  <c r="E139" i="9"/>
  <c r="D139" i="9"/>
  <c r="D127" i="9"/>
  <c r="D161" i="9" s="1"/>
  <c r="D99" i="9"/>
  <c r="D87" i="9"/>
  <c r="D81" i="9"/>
  <c r="D88" i="9" s="1"/>
  <c r="D89" i="9" s="1"/>
  <c r="D91" i="9" s="1"/>
  <c r="D79" i="9"/>
  <c r="D73" i="9"/>
  <c r="D90" i="9" s="1"/>
  <c r="D66" i="9"/>
  <c r="C55" i="9"/>
  <c r="E29" i="9"/>
  <c r="F29" i="9"/>
  <c r="D29" i="9"/>
  <c r="E27" i="9"/>
  <c r="F27" i="9"/>
  <c r="D27" i="9"/>
  <c r="E25" i="9"/>
  <c r="F25" i="9"/>
  <c r="D25" i="9"/>
  <c r="E22" i="9"/>
  <c r="E24" i="9" s="1"/>
  <c r="F22" i="9"/>
  <c r="F24" i="9" s="1"/>
  <c r="F32" i="9" s="1"/>
  <c r="D22" i="9"/>
  <c r="D24" i="9" s="1"/>
  <c r="D32" i="9" s="1"/>
  <c r="E21" i="9"/>
  <c r="F21" i="9"/>
  <c r="D21" i="9"/>
  <c r="N239" i="3"/>
  <c r="N242" i="3" s="1"/>
  <c r="M239" i="3"/>
  <c r="M242" i="3" s="1"/>
  <c r="L239" i="3"/>
  <c r="L242" i="3" s="1"/>
  <c r="K239" i="3"/>
  <c r="K242" i="3" s="1"/>
  <c r="J239" i="3"/>
  <c r="J245" i="3" s="1"/>
  <c r="C236" i="3"/>
  <c r="I249" i="3" s="1"/>
  <c r="F75" i="5"/>
  <c r="E75" i="5"/>
  <c r="F74" i="5"/>
  <c r="E74" i="5"/>
  <c r="F73" i="5"/>
  <c r="E73" i="5"/>
  <c r="F72" i="5"/>
  <c r="E72" i="5"/>
  <c r="F70" i="5"/>
  <c r="E70" i="5"/>
  <c r="F69" i="5"/>
  <c r="E69" i="5"/>
  <c r="F68" i="5"/>
  <c r="E68" i="5"/>
  <c r="F67" i="5"/>
  <c r="E67" i="5"/>
  <c r="F66" i="5"/>
  <c r="E66" i="5"/>
  <c r="D75" i="5"/>
  <c r="D74" i="5"/>
  <c r="D73" i="5"/>
  <c r="D72" i="5"/>
  <c r="D70" i="5"/>
  <c r="D69" i="5"/>
  <c r="D68" i="5"/>
  <c r="D67" i="5"/>
  <c r="D66" i="5"/>
  <c r="N187" i="5"/>
  <c r="M187" i="5"/>
  <c r="L187" i="5"/>
  <c r="K187" i="5"/>
  <c r="N186" i="5"/>
  <c r="M186" i="5"/>
  <c r="L186" i="5"/>
  <c r="K186" i="5"/>
  <c r="N185" i="5"/>
  <c r="M185" i="5"/>
  <c r="L185" i="5"/>
  <c r="K185" i="5"/>
  <c r="N184" i="5"/>
  <c r="M184" i="5"/>
  <c r="L184" i="5"/>
  <c r="K184" i="5"/>
  <c r="J187" i="5"/>
  <c r="J186" i="5"/>
  <c r="J185" i="5"/>
  <c r="J184" i="5"/>
  <c r="F145" i="5"/>
  <c r="E145" i="5"/>
  <c r="D145" i="5"/>
  <c r="I131" i="5"/>
  <c r="N131" i="5" s="1"/>
  <c r="I122" i="5"/>
  <c r="I121" i="5"/>
  <c r="I120" i="5"/>
  <c r="I114" i="5"/>
  <c r="L114" i="5" s="1"/>
  <c r="I106" i="5"/>
  <c r="I105" i="5"/>
  <c r="I104" i="5"/>
  <c r="J198" i="5" s="1"/>
  <c r="H111" i="5"/>
  <c r="G138" i="5"/>
  <c r="I138" i="5" s="1"/>
  <c r="J138" i="5" s="1"/>
  <c r="K138" i="5" s="1"/>
  <c r="L138" i="5" s="1"/>
  <c r="M138" i="5" s="1"/>
  <c r="N138" i="5" s="1"/>
  <c r="G137" i="5"/>
  <c r="I137" i="5" s="1"/>
  <c r="J137" i="5" s="1"/>
  <c r="K137" i="5" s="1"/>
  <c r="L137" i="5" s="1"/>
  <c r="M137" i="5" s="1"/>
  <c r="N137" i="5" s="1"/>
  <c r="G136" i="5"/>
  <c r="I136" i="5" s="1"/>
  <c r="J136" i="5" s="1"/>
  <c r="K136" i="5" s="1"/>
  <c r="L136" i="5" s="1"/>
  <c r="M136" i="5" s="1"/>
  <c r="N136" i="5" s="1"/>
  <c r="G130" i="5"/>
  <c r="G126" i="5"/>
  <c r="I126" i="5" s="1"/>
  <c r="J126" i="5" s="1"/>
  <c r="K126" i="5" s="1"/>
  <c r="L126" i="5" s="1"/>
  <c r="M126" i="5" s="1"/>
  <c r="N126" i="5" s="1"/>
  <c r="M230" i="5"/>
  <c r="L230" i="5"/>
  <c r="K230" i="5"/>
  <c r="J230" i="5"/>
  <c r="N225" i="5"/>
  <c r="I224" i="5"/>
  <c r="N176" i="5"/>
  <c r="N199" i="5" s="1"/>
  <c r="M176" i="5"/>
  <c r="M199" i="5" s="1"/>
  <c r="L176" i="5"/>
  <c r="L199" i="5" s="1"/>
  <c r="K176" i="5"/>
  <c r="L198" i="5" s="1"/>
  <c r="J176" i="5"/>
  <c r="J199" i="5" s="1"/>
  <c r="N104" i="5"/>
  <c r="M104" i="5"/>
  <c r="L104" i="5"/>
  <c r="K104" i="5"/>
  <c r="J104" i="5"/>
  <c r="J82" i="5"/>
  <c r="N77" i="5"/>
  <c r="M77" i="5"/>
  <c r="L77" i="5"/>
  <c r="K77" i="5"/>
  <c r="J77" i="5"/>
  <c r="C57" i="5"/>
  <c r="C53" i="5"/>
  <c r="G52" i="5"/>
  <c r="G110" i="5" s="1"/>
  <c r="I110" i="5" s="1"/>
  <c r="C52" i="5"/>
  <c r="H45" i="5"/>
  <c r="C22" i="5"/>
  <c r="H42" i="5" s="1"/>
  <c r="C21" i="5"/>
  <c r="C11" i="5"/>
  <c r="H24" i="5" s="1"/>
  <c r="I230" i="3"/>
  <c r="N225" i="3"/>
  <c r="I224" i="3"/>
  <c r="I113" i="3"/>
  <c r="I114" i="3"/>
  <c r="M114" i="3" s="1"/>
  <c r="I111" i="3"/>
  <c r="N111" i="3" s="1"/>
  <c r="I112" i="3"/>
  <c r="M230" i="3"/>
  <c r="L230" i="3"/>
  <c r="K230" i="3"/>
  <c r="J230" i="3"/>
  <c r="J198" i="3"/>
  <c r="N190" i="3"/>
  <c r="M190" i="3"/>
  <c r="L190" i="3"/>
  <c r="K190" i="3"/>
  <c r="J190" i="3"/>
  <c r="N176" i="3"/>
  <c r="N199" i="3" s="1"/>
  <c r="M176" i="3"/>
  <c r="M199" i="3" s="1"/>
  <c r="L176" i="3"/>
  <c r="L199" i="3" s="1"/>
  <c r="K176" i="3"/>
  <c r="K199" i="3" s="1"/>
  <c r="J176" i="3"/>
  <c r="J199" i="3" s="1"/>
  <c r="J175" i="3"/>
  <c r="J167" i="3"/>
  <c r="N139" i="3"/>
  <c r="M139" i="3"/>
  <c r="L139" i="3"/>
  <c r="K139" i="3"/>
  <c r="J139" i="3"/>
  <c r="N131" i="3"/>
  <c r="M131" i="3"/>
  <c r="L131" i="3"/>
  <c r="K131" i="3"/>
  <c r="J131" i="3"/>
  <c r="N130" i="3"/>
  <c r="M130" i="3"/>
  <c r="L130" i="3"/>
  <c r="K130" i="3"/>
  <c r="J130" i="3"/>
  <c r="N129" i="3"/>
  <c r="M129" i="3"/>
  <c r="L129" i="3"/>
  <c r="K129" i="3"/>
  <c r="J129" i="3"/>
  <c r="J128" i="3"/>
  <c r="N104" i="3"/>
  <c r="M104" i="3"/>
  <c r="L104" i="3"/>
  <c r="K104" i="3"/>
  <c r="J104" i="3"/>
  <c r="J82" i="3"/>
  <c r="J87" i="3" s="1"/>
  <c r="J151" i="3" s="1"/>
  <c r="N77" i="3"/>
  <c r="M77" i="3"/>
  <c r="L77" i="3"/>
  <c r="K77" i="3"/>
  <c r="J77" i="3"/>
  <c r="N75" i="3"/>
  <c r="M75" i="3"/>
  <c r="L75" i="3"/>
  <c r="K75" i="3"/>
  <c r="J75" i="3"/>
  <c r="N74" i="3"/>
  <c r="M74" i="3"/>
  <c r="L74" i="3"/>
  <c r="K74" i="3"/>
  <c r="J74" i="3"/>
  <c r="N73" i="3"/>
  <c r="M73" i="3"/>
  <c r="L73" i="3"/>
  <c r="K73" i="3"/>
  <c r="J73" i="3"/>
  <c r="N72" i="3"/>
  <c r="M72" i="3"/>
  <c r="L72" i="3"/>
  <c r="K72" i="3"/>
  <c r="J72" i="3"/>
  <c r="J70" i="3"/>
  <c r="N69" i="3"/>
  <c r="M69" i="3"/>
  <c r="L69" i="3"/>
  <c r="K69" i="3"/>
  <c r="J69" i="3"/>
  <c r="N68" i="3"/>
  <c r="M68" i="3"/>
  <c r="L68" i="3"/>
  <c r="K68" i="3"/>
  <c r="J68" i="3"/>
  <c r="N67" i="3"/>
  <c r="M67" i="3"/>
  <c r="L67" i="3"/>
  <c r="K67" i="3"/>
  <c r="J67" i="3"/>
  <c r="C57" i="3"/>
  <c r="C53" i="3"/>
  <c r="G52" i="3"/>
  <c r="N88" i="3" s="1"/>
  <c r="N152" i="3" s="1"/>
  <c r="C52" i="3"/>
  <c r="H45" i="3"/>
  <c r="C22" i="3"/>
  <c r="H42" i="3" s="1"/>
  <c r="C21" i="3"/>
  <c r="C11" i="3"/>
  <c r="H24" i="3" s="1"/>
  <c r="K176" i="1"/>
  <c r="K199" i="1" s="1"/>
  <c r="L176" i="1"/>
  <c r="M198" i="1" s="1"/>
  <c r="M176" i="1"/>
  <c r="M199" i="1" s="1"/>
  <c r="N176" i="1"/>
  <c r="N199" i="1" s="1"/>
  <c r="J176" i="1"/>
  <c r="K175" i="1" s="1"/>
  <c r="M207" i="1"/>
  <c r="N207" i="1"/>
  <c r="K77" i="1"/>
  <c r="L77" i="1"/>
  <c r="M77" i="1"/>
  <c r="N77" i="1"/>
  <c r="J77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J73" i="1"/>
  <c r="J74" i="1"/>
  <c r="J75" i="1"/>
  <c r="J72" i="1"/>
  <c r="K69" i="1"/>
  <c r="L69" i="1"/>
  <c r="M69" i="1"/>
  <c r="N69" i="1"/>
  <c r="K68" i="1"/>
  <c r="L68" i="1"/>
  <c r="M68" i="1"/>
  <c r="N68" i="1"/>
  <c r="J69" i="1"/>
  <c r="J70" i="1"/>
  <c r="J68" i="1"/>
  <c r="K67" i="1"/>
  <c r="L67" i="1"/>
  <c r="M67" i="1"/>
  <c r="N67" i="1"/>
  <c r="J67" i="1"/>
  <c r="J128" i="1"/>
  <c r="K128" i="1" s="1"/>
  <c r="K129" i="1"/>
  <c r="L129" i="1"/>
  <c r="M129" i="1"/>
  <c r="N129" i="1"/>
  <c r="J129" i="1"/>
  <c r="K104" i="1"/>
  <c r="L104" i="1"/>
  <c r="M104" i="1"/>
  <c r="N104" i="1"/>
  <c r="J104" i="1"/>
  <c r="J194" i="1" s="1"/>
  <c r="G52" i="1"/>
  <c r="C55" i="1" s="1"/>
  <c r="C57" i="1"/>
  <c r="C53" i="1"/>
  <c r="C52" i="1"/>
  <c r="H45" i="1"/>
  <c r="C22" i="1"/>
  <c r="H42" i="1" s="1"/>
  <c r="C21" i="1"/>
  <c r="C18" i="1"/>
  <c r="C11" i="1"/>
  <c r="H21" i="1" s="1"/>
  <c r="I230" i="1"/>
  <c r="N217" i="1"/>
  <c r="M217" i="1"/>
  <c r="L217" i="1"/>
  <c r="K217" i="1"/>
  <c r="J198" i="1"/>
  <c r="J190" i="1"/>
  <c r="J175" i="1"/>
  <c r="J167" i="1"/>
  <c r="N139" i="1"/>
  <c r="M139" i="1"/>
  <c r="L139" i="1"/>
  <c r="K139" i="1"/>
  <c r="J139" i="1"/>
  <c r="N131" i="1"/>
  <c r="M131" i="1"/>
  <c r="L131" i="1"/>
  <c r="K131" i="1"/>
  <c r="J131" i="1"/>
  <c r="N130" i="1"/>
  <c r="M130" i="1"/>
  <c r="L130" i="1"/>
  <c r="K130" i="1"/>
  <c r="J130" i="1"/>
  <c r="J127" i="1"/>
  <c r="J168" i="1" s="1"/>
  <c r="K190" i="1"/>
  <c r="N114" i="1"/>
  <c r="M114" i="1"/>
  <c r="L114" i="1"/>
  <c r="K114" i="1"/>
  <c r="J114" i="1"/>
  <c r="N111" i="1"/>
  <c r="M111" i="1"/>
  <c r="L111" i="1"/>
  <c r="K111" i="1"/>
  <c r="J111" i="1"/>
  <c r="J82" i="1"/>
  <c r="J86" i="1" s="1"/>
  <c r="E32" i="9" l="1"/>
  <c r="D74" i="9"/>
  <c r="D82" i="9" s="1"/>
  <c r="D106" i="9" s="1"/>
  <c r="D92" i="9"/>
  <c r="E38" i="9"/>
  <c r="E46" i="9" s="1"/>
  <c r="E33" i="9"/>
  <c r="D33" i="9"/>
  <c r="D38" i="9"/>
  <c r="D46" i="9" s="1"/>
  <c r="C166" i="9"/>
  <c r="F38" i="9"/>
  <c r="F46" i="9" s="1"/>
  <c r="F33" i="9"/>
  <c r="N68" i="5"/>
  <c r="M73" i="5"/>
  <c r="J242" i="3"/>
  <c r="J86" i="5"/>
  <c r="M68" i="5"/>
  <c r="L73" i="5"/>
  <c r="N75" i="5"/>
  <c r="I250" i="3"/>
  <c r="G259" i="3"/>
  <c r="G269" i="3"/>
  <c r="I248" i="3"/>
  <c r="M245" i="3"/>
  <c r="J68" i="5"/>
  <c r="J73" i="5"/>
  <c r="N73" i="5"/>
  <c r="N245" i="3"/>
  <c r="K68" i="5"/>
  <c r="K73" i="5"/>
  <c r="J70" i="5"/>
  <c r="N70" i="5" s="1"/>
  <c r="M75" i="5"/>
  <c r="K245" i="3"/>
  <c r="L68" i="5"/>
  <c r="L245" i="3"/>
  <c r="M67" i="5"/>
  <c r="K69" i="5"/>
  <c r="M72" i="5"/>
  <c r="K74" i="5"/>
  <c r="M175" i="3"/>
  <c r="J75" i="5"/>
  <c r="L175" i="3"/>
  <c r="K75" i="5"/>
  <c r="L75" i="5"/>
  <c r="L67" i="5"/>
  <c r="N69" i="5"/>
  <c r="L72" i="5"/>
  <c r="N74" i="5"/>
  <c r="J67" i="5"/>
  <c r="N67" i="5"/>
  <c r="L69" i="5"/>
  <c r="J72" i="5"/>
  <c r="N72" i="5"/>
  <c r="L74" i="5"/>
  <c r="K67" i="5"/>
  <c r="M69" i="5"/>
  <c r="K72" i="5"/>
  <c r="M74" i="5"/>
  <c r="J69" i="5"/>
  <c r="J74" i="5"/>
  <c r="N175" i="3"/>
  <c r="L175" i="5"/>
  <c r="K175" i="5"/>
  <c r="M175" i="5"/>
  <c r="K175" i="3"/>
  <c r="N175" i="5"/>
  <c r="M131" i="5"/>
  <c r="M194" i="5"/>
  <c r="H23" i="5"/>
  <c r="H20" i="5"/>
  <c r="K194" i="5"/>
  <c r="L194" i="5"/>
  <c r="I123" i="5"/>
  <c r="N114" i="5"/>
  <c r="K131" i="5"/>
  <c r="J175" i="5"/>
  <c r="I107" i="5"/>
  <c r="N194" i="5"/>
  <c r="L131" i="5"/>
  <c r="K114" i="5"/>
  <c r="J131" i="5"/>
  <c r="L88" i="5"/>
  <c r="L152" i="5" s="1"/>
  <c r="C55" i="5"/>
  <c r="K198" i="5"/>
  <c r="H22" i="5"/>
  <c r="K88" i="5"/>
  <c r="K152" i="5" s="1"/>
  <c r="K199" i="5"/>
  <c r="H21" i="5"/>
  <c r="J162" i="5"/>
  <c r="J163" i="5" s="1"/>
  <c r="J87" i="5"/>
  <c r="J151" i="5" s="1"/>
  <c r="M88" i="5"/>
  <c r="M152" i="5" s="1"/>
  <c r="K82" i="5"/>
  <c r="J83" i="5"/>
  <c r="J88" i="5"/>
  <c r="J152" i="5" s="1"/>
  <c r="N88" i="5"/>
  <c r="N152" i="5" s="1"/>
  <c r="J194" i="5"/>
  <c r="M114" i="5"/>
  <c r="M198" i="5"/>
  <c r="J114" i="5"/>
  <c r="N198" i="5"/>
  <c r="L194" i="3"/>
  <c r="N198" i="1"/>
  <c r="N175" i="1"/>
  <c r="J88" i="1"/>
  <c r="J152" i="1" s="1"/>
  <c r="L199" i="1"/>
  <c r="K111" i="3"/>
  <c r="N88" i="1"/>
  <c r="N152" i="1" s="1"/>
  <c r="N114" i="3"/>
  <c r="J87" i="1"/>
  <c r="J151" i="1" s="1"/>
  <c r="L194" i="1"/>
  <c r="K88" i="1"/>
  <c r="K152" i="1" s="1"/>
  <c r="L88" i="1"/>
  <c r="L152" i="1" s="1"/>
  <c r="M88" i="1"/>
  <c r="M152" i="1" s="1"/>
  <c r="M175" i="1"/>
  <c r="K198" i="1"/>
  <c r="J199" i="1"/>
  <c r="M194" i="3"/>
  <c r="N194" i="3"/>
  <c r="H24" i="1"/>
  <c r="K82" i="3"/>
  <c r="K87" i="3" s="1"/>
  <c r="K151" i="3" s="1"/>
  <c r="J114" i="3"/>
  <c r="C20" i="1"/>
  <c r="F9" i="1" s="1"/>
  <c r="J191" i="1"/>
  <c r="K88" i="3"/>
  <c r="K152" i="3" s="1"/>
  <c r="K114" i="3"/>
  <c r="J132" i="1"/>
  <c r="L114" i="3"/>
  <c r="L175" i="1"/>
  <c r="K191" i="1"/>
  <c r="L198" i="1"/>
  <c r="H23" i="1"/>
  <c r="L82" i="3"/>
  <c r="L83" i="3" s="1"/>
  <c r="L111" i="3"/>
  <c r="G110" i="3"/>
  <c r="I110" i="3" s="1"/>
  <c r="H22" i="1"/>
  <c r="J83" i="1"/>
  <c r="J83" i="3"/>
  <c r="J105" i="3" s="1"/>
  <c r="M111" i="3"/>
  <c r="J192" i="3"/>
  <c r="K82" i="1"/>
  <c r="L82" i="1" s="1"/>
  <c r="H20" i="1"/>
  <c r="J111" i="3"/>
  <c r="J162" i="3"/>
  <c r="J163" i="3" s="1"/>
  <c r="H20" i="3"/>
  <c r="H22" i="3"/>
  <c r="H23" i="3"/>
  <c r="K194" i="3"/>
  <c r="J194" i="3"/>
  <c r="N198" i="3"/>
  <c r="H21" i="3"/>
  <c r="C55" i="3"/>
  <c r="J86" i="3"/>
  <c r="L88" i="3"/>
  <c r="L152" i="3" s="1"/>
  <c r="K198" i="3"/>
  <c r="M88" i="3"/>
  <c r="M152" i="3" s="1"/>
  <c r="L198" i="3"/>
  <c r="J88" i="3"/>
  <c r="J152" i="3" s="1"/>
  <c r="M198" i="3"/>
  <c r="L190" i="1"/>
  <c r="K194" i="1"/>
  <c r="M194" i="1"/>
  <c r="J192" i="1"/>
  <c r="N194" i="1"/>
  <c r="J162" i="1"/>
  <c r="J169" i="1"/>
  <c r="J171" i="1" s="1"/>
  <c r="C165" i="9" l="1"/>
  <c r="C164" i="9" s="1"/>
  <c r="C167" i="9"/>
  <c r="C168" i="9" s="1"/>
  <c r="D47" i="9"/>
  <c r="D52" i="9"/>
  <c r="D54" i="9"/>
  <c r="F47" i="9"/>
  <c r="D53" i="9"/>
  <c r="E47" i="9"/>
  <c r="J122" i="5"/>
  <c r="J159" i="5" s="1"/>
  <c r="H25" i="3"/>
  <c r="C18" i="3" s="1"/>
  <c r="C20" i="3" s="1"/>
  <c r="F9" i="3" s="1"/>
  <c r="J106" i="5"/>
  <c r="J157" i="5" s="1"/>
  <c r="K70" i="5"/>
  <c r="G268" i="3"/>
  <c r="I247" i="3"/>
  <c r="G258" i="3"/>
  <c r="M70" i="5"/>
  <c r="L70" i="5"/>
  <c r="G260" i="3"/>
  <c r="G270" i="3"/>
  <c r="I251" i="3"/>
  <c r="H25" i="5"/>
  <c r="C18" i="5" s="1"/>
  <c r="C20" i="5" s="1"/>
  <c r="C26" i="5" s="1"/>
  <c r="F10" i="5" s="1"/>
  <c r="F11" i="5" s="1"/>
  <c r="I225" i="5" s="1"/>
  <c r="I226" i="5" s="1"/>
  <c r="J121" i="5"/>
  <c r="J105" i="5"/>
  <c r="J84" i="5"/>
  <c r="K87" i="5"/>
  <c r="K151" i="5" s="1"/>
  <c r="K162" i="5"/>
  <c r="K163" i="5" s="1"/>
  <c r="K86" i="5"/>
  <c r="L82" i="5"/>
  <c r="K83" i="5"/>
  <c r="J110" i="5"/>
  <c r="K162" i="3"/>
  <c r="K163" i="3" s="1"/>
  <c r="K86" i="3"/>
  <c r="K106" i="3" s="1"/>
  <c r="K83" i="3"/>
  <c r="K105" i="3" s="1"/>
  <c r="K156" i="3" s="1"/>
  <c r="L162" i="3"/>
  <c r="L163" i="3" s="1"/>
  <c r="L87" i="3"/>
  <c r="L151" i="3" s="1"/>
  <c r="L86" i="3"/>
  <c r="L122" i="3" s="1"/>
  <c r="C26" i="1"/>
  <c r="F10" i="1" s="1"/>
  <c r="F11" i="1" s="1"/>
  <c r="L87" i="1"/>
  <c r="L151" i="1" s="1"/>
  <c r="L86" i="1"/>
  <c r="L83" i="1"/>
  <c r="L84" i="1" s="1"/>
  <c r="K162" i="1"/>
  <c r="K163" i="1" s="1"/>
  <c r="K86" i="1"/>
  <c r="K106" i="1" s="1"/>
  <c r="K83" i="1"/>
  <c r="K84" i="1" s="1"/>
  <c r="K87" i="1"/>
  <c r="K151" i="1" s="1"/>
  <c r="M82" i="3"/>
  <c r="M162" i="3" s="1"/>
  <c r="M163" i="3" s="1"/>
  <c r="J110" i="3"/>
  <c r="J121" i="3"/>
  <c r="J158" i="3" s="1"/>
  <c r="J84" i="3"/>
  <c r="J98" i="3" s="1"/>
  <c r="J240" i="3" s="1"/>
  <c r="J106" i="3"/>
  <c r="J157" i="3" s="1"/>
  <c r="J122" i="3"/>
  <c r="L105" i="3"/>
  <c r="L121" i="3"/>
  <c r="L84" i="3"/>
  <c r="J156" i="3"/>
  <c r="C51" i="1"/>
  <c r="C54" i="1" s="1"/>
  <c r="H41" i="1"/>
  <c r="F12" i="1"/>
  <c r="J122" i="1"/>
  <c r="J159" i="1" s="1"/>
  <c r="J106" i="1"/>
  <c r="J157" i="1" s="1"/>
  <c r="M82" i="1"/>
  <c r="L162" i="1"/>
  <c r="L163" i="1" s="1"/>
  <c r="J163" i="1"/>
  <c r="J110" i="1"/>
  <c r="M190" i="1"/>
  <c r="D56" i="9" l="1"/>
  <c r="D98" i="9" s="1"/>
  <c r="C26" i="3"/>
  <c r="F10" i="3" s="1"/>
  <c r="F11" i="3" s="1"/>
  <c r="I225" i="3" s="1"/>
  <c r="I226" i="3" s="1"/>
  <c r="G261" i="3"/>
  <c r="G271" i="3"/>
  <c r="I252" i="3"/>
  <c r="G257" i="3"/>
  <c r="G267" i="3"/>
  <c r="I246" i="3"/>
  <c r="F9" i="5"/>
  <c r="H41" i="5" s="1"/>
  <c r="H43" i="5" s="1"/>
  <c r="G140" i="5" s="1"/>
  <c r="I140" i="5" s="1"/>
  <c r="M83" i="3"/>
  <c r="M121" i="3" s="1"/>
  <c r="K110" i="3"/>
  <c r="L110" i="3" s="1"/>
  <c r="J156" i="5"/>
  <c r="J107" i="5"/>
  <c r="K121" i="5"/>
  <c r="K105" i="5"/>
  <c r="K84" i="5"/>
  <c r="J158" i="5"/>
  <c r="L162" i="5"/>
  <c r="L163" i="5" s="1"/>
  <c r="L86" i="5"/>
  <c r="L83" i="5"/>
  <c r="L84" i="5" s="1"/>
  <c r="M82" i="5"/>
  <c r="L87" i="5"/>
  <c r="L151" i="5" s="1"/>
  <c r="K110" i="5"/>
  <c r="K106" i="5"/>
  <c r="K157" i="5" s="1"/>
  <c r="K122" i="5"/>
  <c r="K159" i="5" s="1"/>
  <c r="J98" i="5"/>
  <c r="K122" i="3"/>
  <c r="L159" i="3" s="1"/>
  <c r="K84" i="3"/>
  <c r="K98" i="3" s="1"/>
  <c r="K240" i="3" s="1"/>
  <c r="K121" i="3"/>
  <c r="K158" i="3" s="1"/>
  <c r="L106" i="3"/>
  <c r="L107" i="3" s="1"/>
  <c r="L98" i="3"/>
  <c r="L240" i="3" s="1"/>
  <c r="K122" i="1"/>
  <c r="K159" i="1" s="1"/>
  <c r="M87" i="3"/>
  <c r="M151" i="3" s="1"/>
  <c r="K105" i="1"/>
  <c r="K107" i="1" s="1"/>
  <c r="N82" i="3"/>
  <c r="N83" i="3" s="1"/>
  <c r="M83" i="1"/>
  <c r="M87" i="1"/>
  <c r="M151" i="1" s="1"/>
  <c r="M86" i="1"/>
  <c r="G56" i="1"/>
  <c r="G58" i="1" s="1"/>
  <c r="K121" i="1"/>
  <c r="J107" i="3"/>
  <c r="M86" i="3"/>
  <c r="M122" i="3" s="1"/>
  <c r="M159" i="3" s="1"/>
  <c r="L123" i="3"/>
  <c r="K157" i="3"/>
  <c r="K107" i="3"/>
  <c r="J159" i="3"/>
  <c r="J123" i="3"/>
  <c r="H41" i="3"/>
  <c r="C51" i="3"/>
  <c r="C54" i="3" s="1"/>
  <c r="F12" i="3"/>
  <c r="L156" i="3"/>
  <c r="K157" i="1"/>
  <c r="H44" i="1"/>
  <c r="D36" i="1"/>
  <c r="H43" i="1"/>
  <c r="L105" i="1"/>
  <c r="L121" i="1"/>
  <c r="M162" i="1"/>
  <c r="M163" i="1" s="1"/>
  <c r="N82" i="1"/>
  <c r="L122" i="1"/>
  <c r="L106" i="1"/>
  <c r="L157" i="1" s="1"/>
  <c r="K110" i="1"/>
  <c r="N190" i="1"/>
  <c r="E135" i="9" l="1"/>
  <c r="D135" i="9"/>
  <c r="D101" i="9"/>
  <c r="K159" i="3"/>
  <c r="C51" i="5"/>
  <c r="C54" i="5" s="1"/>
  <c r="G56" i="5" s="1"/>
  <c r="G58" i="5" s="1"/>
  <c r="G112" i="5" s="1"/>
  <c r="I112" i="5" s="1"/>
  <c r="F12" i="5"/>
  <c r="D36" i="5" s="1"/>
  <c r="M84" i="3"/>
  <c r="M98" i="3" s="1"/>
  <c r="M240" i="3" s="1"/>
  <c r="G272" i="3"/>
  <c r="G262" i="3"/>
  <c r="M105" i="3"/>
  <c r="M156" i="3" s="1"/>
  <c r="G256" i="3"/>
  <c r="G266" i="3"/>
  <c r="M89" i="5"/>
  <c r="M153" i="5" s="1"/>
  <c r="H44" i="5"/>
  <c r="G113" i="5" s="1"/>
  <c r="I113" i="5" s="1"/>
  <c r="L157" i="3"/>
  <c r="L106" i="5"/>
  <c r="L157" i="5" s="1"/>
  <c r="L122" i="5"/>
  <c r="L159" i="5" s="1"/>
  <c r="K98" i="5"/>
  <c r="M162" i="5"/>
  <c r="M163" i="5" s="1"/>
  <c r="M83" i="5"/>
  <c r="M84" i="5" s="1"/>
  <c r="N82" i="5"/>
  <c r="M87" i="5"/>
  <c r="M151" i="5" s="1"/>
  <c r="M86" i="5"/>
  <c r="L98" i="5"/>
  <c r="K158" i="5"/>
  <c r="K156" i="5"/>
  <c r="K107" i="5"/>
  <c r="L110" i="5"/>
  <c r="L121" i="5"/>
  <c r="L105" i="5"/>
  <c r="L159" i="1"/>
  <c r="L158" i="3"/>
  <c r="K123" i="1"/>
  <c r="K123" i="3"/>
  <c r="N162" i="3"/>
  <c r="N163" i="3" s="1"/>
  <c r="N86" i="3"/>
  <c r="N106" i="3" s="1"/>
  <c r="N87" i="3"/>
  <c r="N151" i="3" s="1"/>
  <c r="M110" i="3"/>
  <c r="N84" i="3"/>
  <c r="M89" i="1"/>
  <c r="M153" i="1" s="1"/>
  <c r="N89" i="1"/>
  <c r="N153" i="1" s="1"/>
  <c r="C58" i="1"/>
  <c r="G61" i="1" s="1"/>
  <c r="L89" i="1"/>
  <c r="L153" i="1" s="1"/>
  <c r="J89" i="1"/>
  <c r="K89" i="1"/>
  <c r="K153" i="1" s="1"/>
  <c r="C56" i="1"/>
  <c r="N83" i="1"/>
  <c r="N84" i="1" s="1"/>
  <c r="N86" i="1"/>
  <c r="N87" i="1"/>
  <c r="N151" i="1" s="1"/>
  <c r="M106" i="3"/>
  <c r="M157" i="3" s="1"/>
  <c r="H46" i="1"/>
  <c r="C45" i="1" s="1"/>
  <c r="H43" i="3"/>
  <c r="N121" i="3"/>
  <c r="N105" i="3"/>
  <c r="G56" i="3"/>
  <c r="G58" i="3" s="1"/>
  <c r="M158" i="3"/>
  <c r="M123" i="3"/>
  <c r="D36" i="3"/>
  <c r="H44" i="3"/>
  <c r="N90" i="1"/>
  <c r="N154" i="1" s="1"/>
  <c r="L90" i="1"/>
  <c r="K90" i="1"/>
  <c r="J90" i="1"/>
  <c r="M90" i="1"/>
  <c r="M154" i="1" s="1"/>
  <c r="L156" i="1"/>
  <c r="L107" i="1"/>
  <c r="M121" i="1"/>
  <c r="M105" i="1"/>
  <c r="M84" i="1"/>
  <c r="N162" i="1"/>
  <c r="N163" i="1" s="1"/>
  <c r="L110" i="1"/>
  <c r="M106" i="1"/>
  <c r="M157" i="1" s="1"/>
  <c r="M122" i="1"/>
  <c r="M159" i="1" s="1"/>
  <c r="L158" i="1"/>
  <c r="L123" i="1"/>
  <c r="C56" i="5" l="1"/>
  <c r="D102" i="9"/>
  <c r="D103" i="9" s="1"/>
  <c r="K89" i="5"/>
  <c r="K153" i="5" s="1"/>
  <c r="J89" i="5"/>
  <c r="J153" i="5" s="1"/>
  <c r="C58" i="5"/>
  <c r="H130" i="5" s="1"/>
  <c r="I130" i="5" s="1"/>
  <c r="N89" i="5"/>
  <c r="N153" i="5" s="1"/>
  <c r="L89" i="5"/>
  <c r="L153" i="5" s="1"/>
  <c r="C59" i="1"/>
  <c r="G61" i="5"/>
  <c r="J112" i="5"/>
  <c r="J90" i="5"/>
  <c r="M90" i="5"/>
  <c r="M154" i="5" s="1"/>
  <c r="K90" i="5"/>
  <c r="L90" i="5"/>
  <c r="H46" i="5"/>
  <c r="C45" i="5" s="1"/>
  <c r="N90" i="5"/>
  <c r="N154" i="5" s="1"/>
  <c r="D34" i="5"/>
  <c r="H128" i="5" s="1"/>
  <c r="I128" i="5" s="1"/>
  <c r="J128" i="5" s="1"/>
  <c r="J192" i="5" s="1"/>
  <c r="D32" i="5"/>
  <c r="D35" i="5"/>
  <c r="H129" i="5" s="1"/>
  <c r="I129" i="5" s="1"/>
  <c r="D33" i="5"/>
  <c r="H127" i="5" s="1"/>
  <c r="I127" i="5" s="1"/>
  <c r="M98" i="5"/>
  <c r="M122" i="5"/>
  <c r="M159" i="5" s="1"/>
  <c r="M106" i="5"/>
  <c r="M157" i="5" s="1"/>
  <c r="M110" i="5"/>
  <c r="L107" i="5"/>
  <c r="L156" i="5"/>
  <c r="M121" i="5"/>
  <c r="M105" i="5"/>
  <c r="L158" i="5"/>
  <c r="N162" i="5"/>
  <c r="N163" i="5" s="1"/>
  <c r="N83" i="5"/>
  <c r="N84" i="5" s="1"/>
  <c r="N86" i="5"/>
  <c r="N87" i="5"/>
  <c r="N151" i="5" s="1"/>
  <c r="N98" i="3"/>
  <c r="N122" i="3"/>
  <c r="N159" i="3" s="1"/>
  <c r="N110" i="3"/>
  <c r="N157" i="3"/>
  <c r="M107" i="3"/>
  <c r="J153" i="1"/>
  <c r="J112" i="1"/>
  <c r="K112" i="1" s="1"/>
  <c r="L112" i="1" s="1"/>
  <c r="M112" i="1" s="1"/>
  <c r="N112" i="1" s="1"/>
  <c r="M91" i="1"/>
  <c r="H46" i="3"/>
  <c r="C45" i="3" s="1"/>
  <c r="L90" i="3"/>
  <c r="L154" i="3" s="1"/>
  <c r="K90" i="3"/>
  <c r="K154" i="3" s="1"/>
  <c r="N90" i="3"/>
  <c r="N154" i="3" s="1"/>
  <c r="J90" i="3"/>
  <c r="M90" i="3"/>
  <c r="M154" i="3" s="1"/>
  <c r="M89" i="3"/>
  <c r="L89" i="3"/>
  <c r="C56" i="3"/>
  <c r="K89" i="3"/>
  <c r="C58" i="3"/>
  <c r="G61" i="3" s="1"/>
  <c r="N89" i="3"/>
  <c r="J89" i="3"/>
  <c r="N158" i="3"/>
  <c r="D34" i="3"/>
  <c r="D35" i="3"/>
  <c r="J209" i="3" s="1"/>
  <c r="D33" i="3"/>
  <c r="D32" i="3"/>
  <c r="N156" i="3"/>
  <c r="N107" i="3"/>
  <c r="J113" i="1"/>
  <c r="J154" i="1"/>
  <c r="K154" i="1"/>
  <c r="K91" i="1"/>
  <c r="L154" i="1"/>
  <c r="L91" i="1"/>
  <c r="N105" i="1"/>
  <c r="N121" i="1"/>
  <c r="M156" i="1"/>
  <c r="M107" i="1"/>
  <c r="M110" i="1"/>
  <c r="N91" i="1"/>
  <c r="N122" i="1"/>
  <c r="N159" i="1" s="1"/>
  <c r="N106" i="1"/>
  <c r="N157" i="1" s="1"/>
  <c r="M158" i="1"/>
  <c r="M123" i="1"/>
  <c r="F165" i="9" l="1"/>
  <c r="E166" i="9"/>
  <c r="D167" i="9"/>
  <c r="H167" i="9"/>
  <c r="G168" i="9"/>
  <c r="G164" i="9"/>
  <c r="H165" i="9"/>
  <c r="G166" i="9"/>
  <c r="E168" i="9"/>
  <c r="D164" i="9"/>
  <c r="E165" i="9"/>
  <c r="H166" i="9"/>
  <c r="F164" i="9"/>
  <c r="G165" i="9"/>
  <c r="F166" i="9"/>
  <c r="E167" i="9"/>
  <c r="D168" i="9"/>
  <c r="H168" i="9"/>
  <c r="H164" i="9"/>
  <c r="D165" i="9"/>
  <c r="F167" i="9"/>
  <c r="E164" i="9"/>
  <c r="D166" i="9"/>
  <c r="G167" i="9"/>
  <c r="F168" i="9"/>
  <c r="J91" i="5"/>
  <c r="D107" i="9"/>
  <c r="K112" i="5"/>
  <c r="C59" i="5"/>
  <c r="G111" i="5" s="1"/>
  <c r="I111" i="5" s="1"/>
  <c r="I115" i="5" s="1"/>
  <c r="I116" i="5" s="1"/>
  <c r="N224" i="3"/>
  <c r="N226" i="3" s="1"/>
  <c r="N240" i="3"/>
  <c r="M91" i="5"/>
  <c r="L129" i="5"/>
  <c r="K129" i="5"/>
  <c r="N129" i="5"/>
  <c r="J129" i="5"/>
  <c r="M129" i="5"/>
  <c r="N111" i="5"/>
  <c r="J111" i="5"/>
  <c r="I132" i="5"/>
  <c r="I133" i="5" s="1"/>
  <c r="K130" i="5"/>
  <c r="N130" i="5"/>
  <c r="J130" i="5"/>
  <c r="M130" i="5"/>
  <c r="L130" i="5"/>
  <c r="L154" i="5"/>
  <c r="L91" i="5"/>
  <c r="K208" i="5"/>
  <c r="J208" i="5"/>
  <c r="C42" i="5"/>
  <c r="K154" i="5"/>
  <c r="K91" i="5"/>
  <c r="J207" i="5"/>
  <c r="C41" i="5"/>
  <c r="L193" i="5"/>
  <c r="J193" i="5"/>
  <c r="K193" i="5"/>
  <c r="M193" i="5"/>
  <c r="N193" i="5"/>
  <c r="J209" i="5"/>
  <c r="J170" i="5" s="1"/>
  <c r="C43" i="5"/>
  <c r="J154" i="5"/>
  <c r="J113" i="5"/>
  <c r="N91" i="5"/>
  <c r="N98" i="5"/>
  <c r="N224" i="5" s="1"/>
  <c r="N226" i="5" s="1"/>
  <c r="L112" i="5"/>
  <c r="N122" i="5"/>
  <c r="N159" i="5" s="1"/>
  <c r="N106" i="5"/>
  <c r="N157" i="5" s="1"/>
  <c r="M158" i="5"/>
  <c r="M156" i="5"/>
  <c r="M107" i="5"/>
  <c r="N121" i="5"/>
  <c r="N105" i="5"/>
  <c r="N110" i="5"/>
  <c r="N123" i="3"/>
  <c r="K209" i="3"/>
  <c r="L209" i="3"/>
  <c r="N209" i="3"/>
  <c r="M209" i="3"/>
  <c r="K208" i="3"/>
  <c r="J208" i="3"/>
  <c r="J207" i="3"/>
  <c r="N153" i="3"/>
  <c r="N91" i="3"/>
  <c r="M153" i="3"/>
  <c r="M91" i="3"/>
  <c r="C42" i="3"/>
  <c r="L153" i="3"/>
  <c r="L91" i="3"/>
  <c r="C41" i="3"/>
  <c r="K153" i="3"/>
  <c r="K91" i="3"/>
  <c r="L193" i="3"/>
  <c r="K193" i="3"/>
  <c r="N193" i="3"/>
  <c r="J193" i="3"/>
  <c r="C43" i="3"/>
  <c r="M193" i="3"/>
  <c r="J112" i="3"/>
  <c r="J153" i="3"/>
  <c r="J91" i="3"/>
  <c r="C59" i="3"/>
  <c r="J113" i="3"/>
  <c r="K113" i="3" s="1"/>
  <c r="L113" i="3" s="1"/>
  <c r="M113" i="3" s="1"/>
  <c r="N113" i="3" s="1"/>
  <c r="J154" i="3"/>
  <c r="K113" i="1"/>
  <c r="J115" i="1"/>
  <c r="N156" i="1"/>
  <c r="N107" i="1"/>
  <c r="N110" i="1"/>
  <c r="N158" i="1"/>
  <c r="N123" i="1"/>
  <c r="K111" i="5" l="1"/>
  <c r="M111" i="5"/>
  <c r="L111" i="5"/>
  <c r="D112" i="9"/>
  <c r="D129" i="9" s="1"/>
  <c r="D146" i="9" s="1"/>
  <c r="D147" i="9" s="1"/>
  <c r="D108" i="9"/>
  <c r="D141" i="9" s="1"/>
  <c r="J210" i="5"/>
  <c r="K113" i="5"/>
  <c r="J115" i="5"/>
  <c r="J116" i="5" s="1"/>
  <c r="L209" i="5"/>
  <c r="L170" i="5" s="1"/>
  <c r="K209" i="5"/>
  <c r="K170" i="5" s="1"/>
  <c r="N209" i="5"/>
  <c r="N170" i="5" s="1"/>
  <c r="M209" i="5"/>
  <c r="M170" i="5" s="1"/>
  <c r="C44" i="5"/>
  <c r="N158" i="5"/>
  <c r="M112" i="5"/>
  <c r="N156" i="5"/>
  <c r="N107" i="5"/>
  <c r="J210" i="3"/>
  <c r="K112" i="3"/>
  <c r="J115" i="3"/>
  <c r="J116" i="3" s="1"/>
  <c r="C44" i="3"/>
  <c r="L113" i="1"/>
  <c r="K115" i="1"/>
  <c r="K116" i="1" s="1"/>
  <c r="D33" i="1"/>
  <c r="D35" i="1"/>
  <c r="D32" i="1"/>
  <c r="D34" i="1"/>
  <c r="C147" i="9" l="1"/>
  <c r="E147" i="9"/>
  <c r="I227" i="3"/>
  <c r="C235" i="3"/>
  <c r="I227" i="5"/>
  <c r="H139" i="5"/>
  <c r="I139" i="5" s="1"/>
  <c r="L113" i="5"/>
  <c r="K115" i="5"/>
  <c r="K116" i="5" s="1"/>
  <c r="N112" i="5"/>
  <c r="C43" i="1"/>
  <c r="J209" i="1"/>
  <c r="K193" i="1"/>
  <c r="J193" i="1"/>
  <c r="J195" i="1" s="1"/>
  <c r="J93" i="1" s="1"/>
  <c r="L193" i="1"/>
  <c r="M193" i="1"/>
  <c r="N193" i="1"/>
  <c r="C41" i="1"/>
  <c r="J207" i="1"/>
  <c r="C42" i="1"/>
  <c r="J208" i="1"/>
  <c r="L112" i="3"/>
  <c r="K115" i="3"/>
  <c r="K116" i="3" s="1"/>
  <c r="M113" i="1"/>
  <c r="L115" i="1"/>
  <c r="L116" i="1" s="1"/>
  <c r="M139" i="5" l="1"/>
  <c r="L139" i="5"/>
  <c r="I230" i="5"/>
  <c r="K139" i="5"/>
  <c r="N139" i="5"/>
  <c r="J139" i="5"/>
  <c r="I141" i="5"/>
  <c r="I143" i="5" s="1"/>
  <c r="I145" i="5" s="1"/>
  <c r="M113" i="5"/>
  <c r="L115" i="5"/>
  <c r="L116" i="5" s="1"/>
  <c r="C44" i="1"/>
  <c r="L209" i="1"/>
  <c r="M209" i="1"/>
  <c r="N209" i="1"/>
  <c r="K209" i="1"/>
  <c r="L207" i="1"/>
  <c r="K207" i="1"/>
  <c r="J210" i="1"/>
  <c r="M208" i="1"/>
  <c r="N208" i="1"/>
  <c r="L208" i="1"/>
  <c r="K208" i="1"/>
  <c r="M112" i="3"/>
  <c r="L115" i="3"/>
  <c r="L116" i="3" s="1"/>
  <c r="N113" i="1"/>
  <c r="N115" i="1" s="1"/>
  <c r="N116" i="1" s="1"/>
  <c r="M115" i="1"/>
  <c r="M116" i="1" s="1"/>
  <c r="J121" i="1"/>
  <c r="N113" i="5" l="1"/>
  <c r="N115" i="5" s="1"/>
  <c r="N116" i="5" s="1"/>
  <c r="M115" i="5"/>
  <c r="M116" i="5" s="1"/>
  <c r="K210" i="1"/>
  <c r="K220" i="1" s="1"/>
  <c r="N112" i="3"/>
  <c r="N115" i="3" s="1"/>
  <c r="N116" i="3" s="1"/>
  <c r="M115" i="3"/>
  <c r="M116" i="3" s="1"/>
  <c r="J158" i="1"/>
  <c r="K158" i="1"/>
  <c r="J123" i="1"/>
  <c r="J133" i="1" s="1"/>
  <c r="J84" i="1"/>
  <c r="J105" i="1"/>
  <c r="J91" i="1" l="1"/>
  <c r="J94" i="1" s="1"/>
  <c r="J95" i="1" s="1"/>
  <c r="J98" i="1"/>
  <c r="K156" i="1"/>
  <c r="J107" i="1"/>
  <c r="J116" i="1" s="1"/>
  <c r="J156" i="1"/>
  <c r="J97" i="1" l="1"/>
  <c r="J150" i="1" l="1"/>
  <c r="J160" i="1" s="1"/>
  <c r="J140" i="1"/>
  <c r="J230" i="1" l="1"/>
  <c r="J141" i="1"/>
  <c r="J143" i="1" s="1"/>
  <c r="J145" i="1" s="1"/>
  <c r="J165" i="1"/>
  <c r="J200" i="1" s="1"/>
  <c r="J201" i="1" s="1"/>
  <c r="J173" i="1"/>
  <c r="J202" i="1" l="1"/>
  <c r="J203" i="1" s="1"/>
  <c r="K169" i="1"/>
  <c r="K192" i="1"/>
  <c r="K93" i="1" s="1"/>
  <c r="K94" i="1" s="1"/>
  <c r="K195" i="1" l="1"/>
  <c r="K95" i="1"/>
  <c r="K97" i="1" s="1"/>
  <c r="K140" i="1" l="1"/>
  <c r="K150" i="1"/>
  <c r="K160" i="1" s="1"/>
  <c r="K165" i="1" l="1"/>
  <c r="K200" i="1" s="1"/>
  <c r="K201" i="1" s="1"/>
  <c r="K173" i="1"/>
  <c r="K141" i="1"/>
  <c r="K230" i="1"/>
  <c r="K202" i="1" l="1"/>
  <c r="K203" i="1" s="1"/>
  <c r="L210" i="1"/>
  <c r="L220" i="1" s="1"/>
  <c r="N210" i="1"/>
  <c r="N220" i="1" s="1"/>
  <c r="M210" i="1"/>
  <c r="M220" i="1" s="1"/>
  <c r="M230" i="1"/>
  <c r="L230" i="1"/>
  <c r="N230" i="1"/>
  <c r="M145" i="1" l="1"/>
  <c r="M143" i="1"/>
  <c r="M133" i="1"/>
  <c r="M132" i="1"/>
  <c r="L171" i="5"/>
  <c r="L167" i="5"/>
  <c r="L202" i="5"/>
  <c r="M220" i="3"/>
  <c r="M210" i="3"/>
  <c r="K169" i="3"/>
  <c r="N217" i="5"/>
  <c r="N213" i="5"/>
  <c r="M95" i="5"/>
  <c r="J145" i="5"/>
  <c r="J123" i="5"/>
  <c r="J133" i="5"/>
  <c r="J143" i="5"/>
  <c r="L202" i="1"/>
  <c r="L165" i="1"/>
  <c r="L200" i="1"/>
  <c r="L201" i="1"/>
  <c r="L203" i="1"/>
  <c r="K217" i="5"/>
  <c r="K213" i="5"/>
  <c r="J141" i="5"/>
  <c r="M195" i="1"/>
  <c r="L220" i="5"/>
  <c r="L210" i="5"/>
  <c r="L141" i="3"/>
  <c r="K123" i="5"/>
  <c r="K133" i="5"/>
  <c r="K143" i="5"/>
  <c r="K145" i="5"/>
  <c r="J168" i="5"/>
  <c r="K132" i="5"/>
  <c r="L191" i="5"/>
  <c r="N123" i="5"/>
  <c r="N133" i="5"/>
  <c r="N143" i="5"/>
  <c r="N145" i="5"/>
  <c r="L173" i="5"/>
  <c r="L141" i="5"/>
  <c r="J173" i="5"/>
  <c r="M171" i="5"/>
  <c r="M167" i="5"/>
  <c r="M202" i="5"/>
  <c r="L217" i="3"/>
  <c r="L213" i="3"/>
  <c r="L150" i="1"/>
  <c r="L160" i="1"/>
  <c r="L173" i="1"/>
  <c r="M169" i="5"/>
  <c r="M208" i="5"/>
  <c r="K169" i="5"/>
  <c r="M173" i="5"/>
  <c r="N132" i="5"/>
  <c r="N127" i="5"/>
  <c r="J220" i="1"/>
  <c r="N128" i="3"/>
  <c r="N192" i="3"/>
  <c r="N220" i="5"/>
  <c r="N210" i="5"/>
  <c r="J202" i="3"/>
  <c r="J219" i="3"/>
  <c r="J203" i="3"/>
  <c r="J171" i="5"/>
  <c r="J167" i="5"/>
  <c r="K145" i="1"/>
  <c r="K143" i="1"/>
  <c r="K133" i="1"/>
  <c r="K132" i="1"/>
  <c r="M141" i="3"/>
  <c r="N219" i="3"/>
  <c r="N203" i="3"/>
  <c r="N214" i="3"/>
  <c r="N202" i="3"/>
  <c r="N215" i="3"/>
  <c r="K168" i="5"/>
  <c r="K219" i="3"/>
  <c r="K202" i="3"/>
  <c r="K203" i="3"/>
  <c r="K214" i="3"/>
  <c r="J219" i="5"/>
  <c r="J203" i="5"/>
  <c r="M169" i="3"/>
  <c r="M208" i="3"/>
  <c r="I228" i="5"/>
  <c r="N230" i="5"/>
  <c r="N120" i="5"/>
  <c r="N227" i="5"/>
  <c r="N173" i="5"/>
  <c r="K192" i="5"/>
  <c r="L192" i="5"/>
  <c r="L169" i="3"/>
  <c r="L208" i="3"/>
  <c r="N95" i="5"/>
  <c r="N220" i="3"/>
  <c r="N210" i="3"/>
  <c r="K141" i="5"/>
  <c r="J132" i="3"/>
  <c r="J133" i="3"/>
  <c r="J143" i="3"/>
  <c r="J145" i="3"/>
  <c r="M123" i="5"/>
  <c r="M133" i="5"/>
  <c r="M143" i="5"/>
  <c r="M145" i="5"/>
  <c r="M128" i="3"/>
  <c r="N208" i="3"/>
  <c r="N169" i="3"/>
  <c r="K171" i="1"/>
  <c r="J215" i="3"/>
  <c r="J169" i="3"/>
  <c r="L220" i="3"/>
  <c r="L210" i="3"/>
  <c r="N95" i="1"/>
  <c r="L140" i="3"/>
  <c r="M140" i="3"/>
  <c r="N140" i="3"/>
  <c r="N141" i="3"/>
  <c r="L208" i="5"/>
  <c r="L169" i="5"/>
  <c r="N200" i="3"/>
  <c r="N201" i="3"/>
  <c r="N213" i="3"/>
  <c r="N217" i="3"/>
  <c r="K207" i="5"/>
  <c r="K210" i="5"/>
  <c r="K220" i="5"/>
  <c r="K213" i="3"/>
  <c r="K217" i="3"/>
  <c r="N227" i="3"/>
  <c r="N230" i="3"/>
  <c r="I228" i="3"/>
  <c r="J215" i="5"/>
  <c r="J169" i="5"/>
  <c r="K202" i="5"/>
  <c r="K167" i="5"/>
  <c r="K171" i="5"/>
  <c r="M173" i="3"/>
  <c r="M95" i="3"/>
  <c r="L207" i="5"/>
  <c r="L168" i="5"/>
  <c r="M95" i="1"/>
  <c r="M215" i="5"/>
  <c r="M203" i="5"/>
  <c r="M214" i="5"/>
  <c r="M219" i="5"/>
  <c r="K140" i="3"/>
  <c r="K141" i="3"/>
  <c r="N169" i="5"/>
  <c r="N208" i="5"/>
  <c r="K95" i="5"/>
  <c r="M168" i="1"/>
  <c r="M171" i="1"/>
  <c r="M207" i="3"/>
  <c r="M168" i="3"/>
  <c r="M171" i="3"/>
  <c r="L168" i="1"/>
  <c r="L171" i="1"/>
  <c r="L195" i="1"/>
  <c r="J213" i="3"/>
  <c r="J217" i="3"/>
  <c r="J220" i="3"/>
  <c r="K168" i="3"/>
  <c r="K171" i="3"/>
  <c r="M132" i="3"/>
  <c r="M133" i="3"/>
  <c r="M143" i="3"/>
  <c r="M145" i="3"/>
  <c r="M141" i="1"/>
  <c r="K95" i="3"/>
  <c r="M190" i="5"/>
  <c r="M195" i="5"/>
  <c r="M93" i="5"/>
  <c r="M94" i="5"/>
  <c r="M97" i="5"/>
  <c r="M150" i="5"/>
  <c r="M160" i="5"/>
  <c r="M165" i="5"/>
  <c r="M200" i="5"/>
  <c r="M201" i="5"/>
  <c r="M213" i="5"/>
  <c r="M217" i="5"/>
  <c r="L123" i="5"/>
  <c r="L133" i="5"/>
  <c r="L143" i="5"/>
  <c r="L145" i="5"/>
  <c r="N97" i="3"/>
  <c r="N150" i="3"/>
  <c r="N160" i="3"/>
  <c r="N165" i="3"/>
  <c r="N173" i="3"/>
  <c r="J95" i="3"/>
  <c r="M140" i="1"/>
  <c r="N140" i="1"/>
  <c r="N141" i="1"/>
  <c r="N202" i="5"/>
  <c r="N167" i="5"/>
  <c r="N171" i="5"/>
  <c r="K145" i="3"/>
  <c r="K132" i="3"/>
  <c r="K133" i="3"/>
  <c r="K143" i="3"/>
  <c r="N145" i="3"/>
  <c r="N132" i="3"/>
  <c r="N133" i="3"/>
  <c r="N143" i="3"/>
  <c r="K173" i="5"/>
  <c r="K173" i="3"/>
  <c r="M141" i="5"/>
  <c r="N173" i="1"/>
  <c r="J140" i="3"/>
  <c r="J141" i="3"/>
  <c r="J213" i="5"/>
  <c r="J217" i="5"/>
  <c r="J220" i="5"/>
  <c r="J272" i="3"/>
  <c r="K270" i="3"/>
  <c r="K256" i="3"/>
  <c r="N258" i="3"/>
  <c r="M258" i="3"/>
  <c r="I272" i="3"/>
  <c r="K260" i="3"/>
  <c r="K259" i="3"/>
  <c r="N269" i="3"/>
  <c r="M270" i="3"/>
  <c r="L270" i="3"/>
  <c r="L260" i="3"/>
  <c r="N248" i="3"/>
  <c r="J256" i="3"/>
  <c r="N262" i="3"/>
  <c r="K271" i="3"/>
  <c r="H257" i="3"/>
  <c r="H262" i="3"/>
  <c r="N260" i="3"/>
  <c r="K267" i="3"/>
  <c r="J268" i="3"/>
  <c r="M272" i="3"/>
  <c r="K266" i="3"/>
  <c r="N272" i="3"/>
  <c r="N261" i="3"/>
  <c r="M262" i="3"/>
  <c r="I267" i="3"/>
  <c r="M257" i="3"/>
  <c r="M260" i="3"/>
  <c r="L271" i="3"/>
  <c r="N249" i="3"/>
  <c r="J270" i="3"/>
  <c r="I261" i="3"/>
  <c r="K272" i="3"/>
  <c r="K257" i="3"/>
  <c r="N256" i="3"/>
  <c r="L268" i="3"/>
  <c r="N250" i="3"/>
  <c r="L259" i="3"/>
  <c r="K258" i="3"/>
  <c r="I257" i="3"/>
  <c r="H271" i="3"/>
  <c r="J261" i="3"/>
  <c r="K262" i="3"/>
  <c r="M266" i="3"/>
  <c r="M268" i="3"/>
  <c r="L258" i="3"/>
  <c r="I262" i="3"/>
  <c r="K269" i="3"/>
  <c r="I270" i="3"/>
  <c r="L261" i="3"/>
  <c r="I268" i="3"/>
  <c r="H260" i="3"/>
  <c r="L272" i="3"/>
  <c r="H267" i="3"/>
  <c r="J269" i="3"/>
  <c r="N271" i="3"/>
  <c r="I266" i="3"/>
  <c r="I260" i="3"/>
  <c r="K268" i="3"/>
  <c r="N252" i="3"/>
  <c r="N257" i="3"/>
  <c r="H261" i="3"/>
  <c r="M259" i="3"/>
  <c r="L256" i="3"/>
  <c r="L267" i="3"/>
  <c r="M261" i="3"/>
  <c r="J262" i="3"/>
  <c r="L262" i="3"/>
  <c r="J266" i="3"/>
  <c r="J257" i="3"/>
  <c r="N251" i="3"/>
  <c r="M256" i="3"/>
  <c r="H270" i="3"/>
  <c r="I271" i="3"/>
  <c r="N270" i="3"/>
  <c r="M267" i="3"/>
  <c r="N266" i="3"/>
  <c r="H272" i="3"/>
  <c r="M269" i="3"/>
  <c r="L269" i="3"/>
  <c r="J258" i="3"/>
  <c r="H258" i="3"/>
  <c r="I259" i="3"/>
  <c r="J267" i="3"/>
  <c r="I269" i="3"/>
  <c r="I256" i="3"/>
  <c r="N268" i="3"/>
  <c r="H269" i="3"/>
  <c r="I258" i="3"/>
  <c r="J260" i="3"/>
  <c r="H268" i="3"/>
  <c r="N267" i="3"/>
  <c r="N259" i="3"/>
  <c r="J259" i="3"/>
  <c r="H266" i="3"/>
  <c r="K261" i="3"/>
  <c r="N246" i="3"/>
  <c r="L266" i="3"/>
  <c r="N247" i="3"/>
  <c r="J271" i="3"/>
  <c r="L257" i="3"/>
  <c r="M271" i="3"/>
  <c r="H259" i="3"/>
  <c r="N127" i="3"/>
  <c r="N241" i="3"/>
  <c r="H256" i="3"/>
  <c r="M203" i="3"/>
  <c r="M215" i="3"/>
  <c r="M214" i="3"/>
  <c r="M202" i="3"/>
  <c r="M219" i="3"/>
  <c r="J217" i="1"/>
  <c r="J213" i="1"/>
  <c r="J214" i="1"/>
  <c r="N219" i="5"/>
  <c r="N214" i="5"/>
  <c r="N215" i="5"/>
  <c r="L120" i="5"/>
  <c r="M120" i="5"/>
  <c r="N190" i="5"/>
  <c r="N195" i="5"/>
  <c r="N93" i="5"/>
  <c r="N94" i="5"/>
  <c r="N97" i="5"/>
  <c r="N150" i="5"/>
  <c r="N160" i="5"/>
  <c r="N165" i="5"/>
  <c r="N200" i="5"/>
  <c r="N201" i="5"/>
  <c r="N203" i="5"/>
  <c r="L132" i="1"/>
  <c r="L133" i="1"/>
  <c r="L143" i="1"/>
  <c r="L145" i="1"/>
  <c r="N191" i="3"/>
  <c r="N195" i="3"/>
  <c r="N93" i="3"/>
  <c r="N94" i="3"/>
  <c r="N95" i="3"/>
  <c r="M202" i="1"/>
  <c r="M165" i="1"/>
  <c r="M200" i="1"/>
  <c r="M201" i="1"/>
  <c r="M203" i="1"/>
  <c r="J168" i="3"/>
  <c r="J171" i="3"/>
  <c r="L95" i="1"/>
  <c r="L173" i="3"/>
  <c r="L95" i="3"/>
  <c r="L217" i="5"/>
  <c r="L213" i="5"/>
  <c r="L192" i="1"/>
  <c r="M169" i="1"/>
  <c r="M192" i="1"/>
  <c r="M192" i="5"/>
  <c r="J191" i="5"/>
  <c r="J132" i="5"/>
  <c r="K191" i="5"/>
  <c r="M191" i="1"/>
  <c r="M93" i="1"/>
  <c r="M94" i="1"/>
  <c r="M97" i="1"/>
  <c r="M150" i="1"/>
  <c r="M160" i="1"/>
  <c r="M173" i="1"/>
  <c r="L128" i="3"/>
  <c r="M192" i="3"/>
  <c r="L203" i="5"/>
  <c r="L215" i="5"/>
  <c r="L219" i="5"/>
  <c r="L97" i="5"/>
  <c r="L150" i="5"/>
  <c r="L160" i="5"/>
  <c r="L165" i="5"/>
  <c r="L200" i="5"/>
  <c r="L201" i="5"/>
  <c r="L214" i="5"/>
  <c r="N171" i="1"/>
  <c r="N168" i="1"/>
  <c r="L202" i="3"/>
  <c r="L219" i="3"/>
  <c r="L203" i="3"/>
  <c r="L214" i="3"/>
  <c r="L191" i="3"/>
  <c r="L195" i="3"/>
  <c r="L93" i="3"/>
  <c r="L94" i="3"/>
  <c r="L97" i="3"/>
  <c r="L150" i="3"/>
  <c r="L160" i="3"/>
  <c r="L165" i="3"/>
  <c r="L200" i="3"/>
  <c r="L201" i="3"/>
  <c r="L215" i="3"/>
  <c r="M132" i="5"/>
  <c r="N191" i="5"/>
  <c r="K207" i="3"/>
  <c r="K210" i="3"/>
  <c r="K220" i="3"/>
  <c r="N128" i="5"/>
  <c r="K215" i="5"/>
  <c r="K128" i="5"/>
  <c r="L128" i="5"/>
  <c r="M128" i="5"/>
  <c r="N192" i="5"/>
  <c r="L191" i="1"/>
  <c r="L93" i="1"/>
  <c r="L94" i="1"/>
  <c r="L97" i="1"/>
  <c r="L140" i="1"/>
  <c r="L141" i="1"/>
  <c r="K192" i="3"/>
  <c r="K191" i="3"/>
  <c r="K195" i="3"/>
  <c r="K93" i="3"/>
  <c r="K94" i="3"/>
  <c r="K97" i="3"/>
  <c r="K150" i="3"/>
  <c r="K160" i="3"/>
  <c r="K165" i="3"/>
  <c r="K200" i="3"/>
  <c r="K201" i="3"/>
  <c r="K215" i="3"/>
  <c r="K128" i="3"/>
  <c r="L192" i="3"/>
  <c r="N195" i="1"/>
  <c r="L132" i="5"/>
  <c r="M191" i="5"/>
  <c r="J248" i="3"/>
  <c r="J249" i="3"/>
  <c r="J246" i="3"/>
  <c r="J247" i="3"/>
  <c r="J251" i="3"/>
  <c r="J252" i="3"/>
  <c r="J241" i="3"/>
  <c r="J250" i="3"/>
  <c r="L251" i="3"/>
  <c r="L246" i="3"/>
  <c r="L248" i="3"/>
  <c r="L250" i="3"/>
  <c r="L249" i="3"/>
  <c r="L252" i="3"/>
  <c r="L241" i="3"/>
  <c r="L247" i="3"/>
  <c r="M250" i="3"/>
  <c r="M246" i="3"/>
  <c r="M251" i="3"/>
  <c r="M247" i="3"/>
  <c r="M248" i="3"/>
  <c r="M249" i="3"/>
  <c r="M241" i="3"/>
  <c r="M252" i="3"/>
  <c r="K246" i="3"/>
  <c r="K247" i="3"/>
  <c r="K250" i="3"/>
  <c r="K249" i="3"/>
  <c r="K252" i="3"/>
  <c r="K251" i="3"/>
  <c r="K241" i="3"/>
  <c r="K248" i="3"/>
  <c r="N169" i="1"/>
  <c r="N192" i="1"/>
  <c r="L169" i="1"/>
  <c r="L128" i="1"/>
  <c r="M128" i="1"/>
  <c r="N128" i="1"/>
  <c r="M127" i="5"/>
  <c r="N207" i="5"/>
  <c r="N168" i="5"/>
  <c r="N127" i="1"/>
  <c r="N132" i="1"/>
  <c r="N133" i="1"/>
  <c r="N143" i="1"/>
  <c r="N145" i="1"/>
  <c r="M191" i="3"/>
  <c r="M195" i="3"/>
  <c r="M93" i="3"/>
  <c r="M94" i="3"/>
  <c r="M97" i="3"/>
  <c r="M150" i="3"/>
  <c r="M160" i="3"/>
  <c r="M165" i="3"/>
  <c r="M200" i="3"/>
  <c r="M201" i="3"/>
  <c r="M213" i="3"/>
  <c r="M217" i="3"/>
  <c r="N202" i="1"/>
  <c r="K168" i="1"/>
  <c r="K127" i="1"/>
  <c r="L127" i="1"/>
  <c r="M127" i="1"/>
  <c r="N191" i="1"/>
  <c r="N93" i="1"/>
  <c r="N94" i="1"/>
  <c r="N97" i="1"/>
  <c r="N150" i="1"/>
  <c r="N160" i="1"/>
  <c r="N165" i="1"/>
  <c r="N200" i="1"/>
  <c r="N201" i="1"/>
  <c r="N203" i="1"/>
  <c r="J173" i="3"/>
  <c r="M127" i="3"/>
  <c r="N207" i="3"/>
  <c r="N168" i="3"/>
  <c r="N171" i="3"/>
  <c r="L127" i="3"/>
  <c r="L132" i="3"/>
  <c r="L133" i="3"/>
  <c r="L143" i="3"/>
  <c r="L145" i="3"/>
  <c r="M168" i="5"/>
  <c r="J95" i="5"/>
  <c r="J140" i="5"/>
  <c r="K140" i="5"/>
  <c r="L140" i="5"/>
  <c r="M140" i="5"/>
  <c r="N140" i="5"/>
  <c r="N141" i="5"/>
  <c r="K120" i="5"/>
  <c r="L190" i="5"/>
  <c r="L195" i="5"/>
  <c r="L93" i="5"/>
  <c r="L94" i="5"/>
  <c r="L95" i="5"/>
  <c r="J214" i="5"/>
  <c r="J127" i="5"/>
  <c r="K127" i="5"/>
  <c r="L127" i="5"/>
  <c r="M207" i="5"/>
  <c r="M210" i="5"/>
  <c r="M220" i="5"/>
  <c r="J191" i="3"/>
  <c r="J195" i="3"/>
  <c r="J93" i="3"/>
  <c r="J94" i="3"/>
  <c r="J97" i="3"/>
  <c r="J150" i="3"/>
  <c r="J160" i="3"/>
  <c r="J165" i="3"/>
  <c r="J200" i="3"/>
  <c r="J201" i="3"/>
  <c r="J214" i="3"/>
  <c r="J127" i="3"/>
  <c r="K127" i="3"/>
  <c r="L207" i="3"/>
  <c r="L168" i="3"/>
  <c r="L171" i="3"/>
  <c r="K219" i="5"/>
  <c r="K214" i="5"/>
  <c r="J190" i="5"/>
  <c r="J195" i="5"/>
  <c r="J93" i="5"/>
  <c r="J94" i="5"/>
  <c r="J97" i="5"/>
  <c r="J150" i="5"/>
  <c r="J160" i="5"/>
  <c r="J165" i="5"/>
  <c r="J200" i="5"/>
  <c r="J201" i="5"/>
  <c r="J202" i="5"/>
  <c r="J120" i="5"/>
  <c r="K190" i="5"/>
  <c r="K195" i="5"/>
  <c r="K93" i="5"/>
  <c r="K94" i="5"/>
  <c r="K97" i="5"/>
  <c r="K150" i="5"/>
  <c r="K160" i="5"/>
  <c r="K165" i="5"/>
  <c r="K200" i="5"/>
  <c r="K201" i="5"/>
  <c r="K20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30" authorId="0" shapeId="0" xr:uid="{4B1956C8-7895-49A2-8397-E50B7D0C6E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IRR 计算用现金流行。I230 = 赞助商初始出资(负),J230:M230 = 0(持有期无分红),N230 = 2019 退出股权价值。中间年份必须是数字 0 而非空白 —— IRR() 会跳过空单元格,导致期数少算。</t>
        </r>
      </text>
    </comment>
    <comment ref="N249" authorId="0" shapeId="0" xr:uid="{D6B8740D-E581-4FD2-80B0-3932B0BBF3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Base case: 2019 exit at 12.0x. Ties to the model IRR in I228.</t>
        </r>
      </text>
    </comment>
    <comment ref="K259" authorId="0" shapeId="0" xr:uid="{3C33A0AC-87F2-40A6-B085-48F51F1012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Base case: 12.0x exit multiple, exit-year EBITDA at base-case forecast.</t>
        </r>
      </text>
    </comment>
    <comment ref="K269" authorId="0" shapeId="0" xr:uid="{5AD688ED-73FD-4CA6-BAAE-01134C8F85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Base case money multiple: 12.0x exit, base-case exit-year EBITDA.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30" authorId="0" shapeId="0" xr:uid="{D7F717BB-A88F-4EDC-9C85-3B7226A5E6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IRR 计算用现金流行。I230 = 赞助商初始出资(负),J230:M230 = 0(持有期无分红),N230 = 2019 退出股权价值。中间年份必须是数字 0 而非空白 —— IRR() 会跳过空单元格,导致期数少算。</t>
        </r>
      </text>
    </comment>
  </commentList>
</comments>
</file>

<file path=xl/sharedStrings.xml><?xml version="1.0" encoding="utf-8"?>
<sst xmlns="http://schemas.openxmlformats.org/spreadsheetml/2006/main" count="1097" uniqueCount="386">
  <si>
    <t>LBO for PETM</t>
  </si>
  <si>
    <t>($ in Millions Except Per Share Data)</t>
  </si>
  <si>
    <t>Transaction Assumptions</t>
  </si>
  <si>
    <t>Company Name</t>
  </si>
  <si>
    <t>PetSmart, Inc.</t>
  </si>
  <si>
    <t>Transaction Close Date</t>
  </si>
  <si>
    <t>Base EBITDA Exit Multiple</t>
  </si>
  <si>
    <t>12.0x</t>
  </si>
  <si>
    <t>Circ.</t>
  </si>
  <si>
    <t>Current Share Price</t>
  </si>
  <si>
    <t>Equity Purchase Price</t>
  </si>
  <si>
    <t>Offer Premium</t>
  </si>
  <si>
    <t>Transaction Enterprise Value</t>
  </si>
  <si>
    <t>Advisory Fee %</t>
  </si>
  <si>
    <t>Offer Price Per Share</t>
  </si>
  <si>
    <t>EBITDA Purchase Multiple</t>
  </si>
  <si>
    <t>Financing Fee %</t>
  </si>
  <si>
    <t>% Debt Used</t>
  </si>
  <si>
    <t>Debt Used</t>
  </si>
  <si>
    <t>Legal &amp; Misc. Fees</t>
  </si>
  <si>
    <t>LIBOR Units</t>
  </si>
  <si>
    <t>Purchase Price Calculation</t>
  </si>
  <si>
    <t>Minimum Cash Balance</t>
  </si>
  <si>
    <t>Common Shares</t>
  </si>
  <si>
    <t>Diluted Shares</t>
  </si>
  <si>
    <t>Name</t>
  </si>
  <si>
    <t>Number</t>
  </si>
  <si>
    <t>Exercise Price</t>
  </si>
  <si>
    <t>Dilution</t>
  </si>
  <si>
    <t>Diluted Equity Value</t>
  </si>
  <si>
    <t>Tranche A</t>
  </si>
  <si>
    <t>Less: Cash &amp; Investment</t>
  </si>
  <si>
    <t>Tranche B</t>
  </si>
  <si>
    <t>Plus: Debt</t>
  </si>
  <si>
    <t>Tranche C</t>
  </si>
  <si>
    <t>Plus: Noncontrolling Interests</t>
  </si>
  <si>
    <t>Tranche D</t>
  </si>
  <si>
    <t>Plus: Preferred Stock</t>
  </si>
  <si>
    <t>RSUs</t>
  </si>
  <si>
    <t>Plus: Other Liabilities</t>
  </si>
  <si>
    <t>Total</t>
  </si>
  <si>
    <t>Enterprise Value</t>
  </si>
  <si>
    <t>Debt Assumptions</t>
  </si>
  <si>
    <t>Interest Rate</t>
  </si>
  <si>
    <t>Principal Repayment</t>
  </si>
  <si>
    <t>Amount</t>
  </si>
  <si>
    <t>Revolver</t>
  </si>
  <si>
    <t>L+225</t>
  </si>
  <si>
    <t>N/A</t>
  </si>
  <si>
    <t>Senior Secured Notes</t>
  </si>
  <si>
    <t>Term Loan B</t>
  </si>
  <si>
    <t>L+375</t>
  </si>
  <si>
    <t>Subordinated Note</t>
  </si>
  <si>
    <t>Total Debt Used</t>
  </si>
  <si>
    <t>Sources &amp; Uses</t>
  </si>
  <si>
    <t>Sources</t>
  </si>
  <si>
    <t>Uses</t>
  </si>
  <si>
    <t>Equity Value of Company</t>
  </si>
  <si>
    <t>Repay Existing Debt</t>
  </si>
  <si>
    <t>Advisory Fees</t>
  </si>
  <si>
    <t>Investor Equity</t>
  </si>
  <si>
    <t>Capitalized Financing Fees</t>
  </si>
  <si>
    <t>Total Sources</t>
  </si>
  <si>
    <t>Total Uses</t>
  </si>
  <si>
    <t>Goodwill Creation &amp; Balance Sheet Adjustments</t>
  </si>
  <si>
    <t>Goodwill Calculation</t>
  </si>
  <si>
    <t>Fixed Asset Write-Up</t>
  </si>
  <si>
    <t>PP&amp;E Write-Up %</t>
  </si>
  <si>
    <t>Less: Seller Book Value</t>
  </si>
  <si>
    <t>PP&amp;E Write-Up Amount</t>
  </si>
  <si>
    <t>Plus: Write-Off of Existing Goodwill</t>
  </si>
  <si>
    <t>Depreciation Period (Years)</t>
  </si>
  <si>
    <t>Total Allocation Purchase Premium</t>
  </si>
  <si>
    <t>Less: Write-Up of PP&amp;E</t>
  </si>
  <si>
    <t>Intangible Asset Write-Up</t>
  </si>
  <si>
    <t>Less: Write-Up of Intangibles</t>
  </si>
  <si>
    <t>Purchase Price to Allocate</t>
  </si>
  <si>
    <t>Less: Write-Down of DTL</t>
  </si>
  <si>
    <t>% Allocated to Intangibles</t>
  </si>
  <si>
    <t>Plus: New Deferred Tax Liability</t>
  </si>
  <si>
    <t>Intangibles Write-Up Amount</t>
  </si>
  <si>
    <t>Total Goodwill Created</t>
  </si>
  <si>
    <t>Amortization Period (Years)</t>
  </si>
  <si>
    <t>Financing Fees Amortization Period</t>
  </si>
  <si>
    <t>New Deferred Tax Liability</t>
  </si>
  <si>
    <t>Operating Assumptions</t>
  </si>
  <si>
    <t>Historical</t>
  </si>
  <si>
    <t>Transaction Adjustments</t>
  </si>
  <si>
    <t>Projected</t>
  </si>
  <si>
    <t>Debit</t>
  </si>
  <si>
    <t>Credit</t>
  </si>
  <si>
    <t>Revenue Growth %</t>
  </si>
  <si>
    <t>COGS % Revenue</t>
  </si>
  <si>
    <t>SG&amp;A % Revenue</t>
  </si>
  <si>
    <t>D&amp;A % Revenue</t>
  </si>
  <si>
    <t>Effective Tax Rate</t>
  </si>
  <si>
    <t>Inventory % COGS</t>
  </si>
  <si>
    <t>Prepaid Expenses &amp; Other % SG&amp;A</t>
  </si>
  <si>
    <t>Accounts Payable % COGS</t>
  </si>
  <si>
    <t>Other Current Liabilities % SG&amp;A</t>
  </si>
  <si>
    <t>CapEx % Revenue</t>
  </si>
  <si>
    <t>Income Statement</t>
  </si>
  <si>
    <t>Revenue</t>
  </si>
  <si>
    <t>Cost of Goods Sold</t>
  </si>
  <si>
    <t>Gross Profit</t>
  </si>
  <si>
    <t>SG&amp;A Expense</t>
  </si>
  <si>
    <t>Depreciation &amp; Amortization</t>
  </si>
  <si>
    <t>Depreciation of PP&amp;E Write-Up</t>
  </si>
  <si>
    <t>-</t>
  </si>
  <si>
    <t>New Intangibles Amortization</t>
  </si>
  <si>
    <t>Amortization of Financing Fees</t>
  </si>
  <si>
    <t>Operating Income</t>
  </si>
  <si>
    <t>Interest Income / (Expense)</t>
  </si>
  <si>
    <t>Pre-Tax Income</t>
  </si>
  <si>
    <t>Income Tax Provision</t>
  </si>
  <si>
    <t>Net Income</t>
  </si>
  <si>
    <t>EBITDA</t>
  </si>
  <si>
    <t>Balance Sheet</t>
  </si>
  <si>
    <t>Current Assets</t>
  </si>
  <si>
    <t>Cash &amp; Cash-Equivalents</t>
  </si>
  <si>
    <t>Merchandise Inventories</t>
  </si>
  <si>
    <t>Prepaid Expenses &amp; Other</t>
  </si>
  <si>
    <t>Total Current Assets</t>
  </si>
  <si>
    <t>Long-Term Assets</t>
  </si>
  <si>
    <t>Net PP&amp;E</t>
  </si>
  <si>
    <t>Goodwill</t>
  </si>
  <si>
    <t>Intangible Assets</t>
  </si>
  <si>
    <t>Other Assets</t>
  </si>
  <si>
    <t>Total Long-Term Assets</t>
  </si>
  <si>
    <t>Total Assets</t>
  </si>
  <si>
    <t>Current Liabilities</t>
  </si>
  <si>
    <t>Accounts Payable</t>
  </si>
  <si>
    <t>Other Current Liabilities</t>
  </si>
  <si>
    <t>Total Current Liabilities</t>
  </si>
  <si>
    <t>Long-Term Liabilities</t>
  </si>
  <si>
    <t>Existing Long-Term Debt</t>
  </si>
  <si>
    <t>0</t>
  </si>
  <si>
    <t>Long-Term Deferred Tax Liability</t>
  </si>
  <si>
    <t>Other Long-Term Liabilities</t>
  </si>
  <si>
    <t>Total Long-Term Liabilities</t>
  </si>
  <si>
    <t>Total Liabilities</t>
  </si>
  <si>
    <t>Shareholders' Equity</t>
  </si>
  <si>
    <t>Accumulated Other Comprehensive Income (AOCI)</t>
  </si>
  <si>
    <t>Common Stock &amp; APIC</t>
  </si>
  <si>
    <t>Treasury Stock</t>
  </si>
  <si>
    <t>Sponsor Common Equity</t>
  </si>
  <si>
    <t>Retained Earnings</t>
  </si>
  <si>
    <t>Total Shareholder's Equity</t>
  </si>
  <si>
    <t>Total Liabilities &amp; SE</t>
  </si>
  <si>
    <t>BALANCE CHECK</t>
  </si>
  <si>
    <t>Cash Flow Statement</t>
  </si>
  <si>
    <t>(+) Depreciation &amp; Amortization</t>
  </si>
  <si>
    <t>(+) Depreciation of PP&amp;E Write-Up</t>
  </si>
  <si>
    <t>(+) New Intangibles Amortization</t>
  </si>
  <si>
    <t>(+) Amortization of Financing Fees</t>
  </si>
  <si>
    <t>Changes in Operating Assets &amp; Liabilities:</t>
  </si>
  <si>
    <t>Accounts Payable &amp; Other</t>
  </si>
  <si>
    <t>Cash Flow from Operations</t>
  </si>
  <si>
    <t>(-) Capital Expenditures</t>
  </si>
  <si>
    <t>Cash Flow from Investing</t>
  </si>
  <si>
    <t>Cash Flow Available for Debt Repayment</t>
  </si>
  <si>
    <t>(-) Revolver</t>
  </si>
  <si>
    <t>(-) Senior Secured Notes</t>
  </si>
  <si>
    <t>(-) Term Loan B</t>
  </si>
  <si>
    <t>(-) Subordinated Note</t>
  </si>
  <si>
    <t>Total Cash Flow Used to Repay Debt</t>
  </si>
  <si>
    <t>Net Change in Cash &amp; Cash Equivalents</t>
  </si>
  <si>
    <t>Beginning Cash Balance</t>
  </si>
  <si>
    <t>Ending Cash Balance</t>
  </si>
  <si>
    <t>Debt &amp; Interest Schedules</t>
  </si>
  <si>
    <t>LIBOR Curve</t>
  </si>
  <si>
    <t>Fixed</t>
  </si>
  <si>
    <t>Interest Rate Assumptions</t>
  </si>
  <si>
    <t>Interest</t>
  </si>
  <si>
    <t>Interest Income (Expense) Calculations</t>
  </si>
  <si>
    <t>Cash</t>
  </si>
  <si>
    <t>Net Interest Income (Expense)</t>
  </si>
  <si>
    <t>Sources of Funds</t>
  </si>
  <si>
    <t>Less: Minimum Cash Balance</t>
  </si>
  <si>
    <t>Plus: Cash Flow Available for Debt Repay</t>
  </si>
  <si>
    <t>Subtotal Before Revolver</t>
  </si>
  <si>
    <t>Revolver Borrowing Required</t>
  </si>
  <si>
    <t>Total Sources of Funds</t>
  </si>
  <si>
    <t>Uses of Funds</t>
  </si>
  <si>
    <t>Mandatory Debt Repayment</t>
  </si>
  <si>
    <t>Mandatory Repayment Total</t>
  </si>
  <si>
    <t>Optional Debt Repayment</t>
  </si>
  <si>
    <t>Optional Repayment Total</t>
  </si>
  <si>
    <t>Cash Generated on Balance Sheet</t>
  </si>
  <si>
    <t>Total Uses of Funds</t>
  </si>
  <si>
    <t>Investor Returns</t>
  </si>
  <si>
    <t>EBITDA Multiple</t>
  </si>
  <si>
    <t>IRR</t>
  </si>
  <si>
    <t>IRR Cash Flows</t>
  </si>
  <si>
    <t>Sensitivity Analysis</t>
  </si>
  <si>
    <t>Sponsor Equity Invested ($mm)</t>
  </si>
  <si>
    <t>Base Exit EBITDA Multiple</t>
  </si>
  <si>
    <t>Multiple Step (+/-)</t>
  </si>
  <si>
    <t>Exit Year</t>
  </si>
  <si>
    <t>Exit-Year EBITDA</t>
  </si>
  <si>
    <t>Net Debt at Exit</t>
  </si>
  <si>
    <t>Holding Period (Years)</t>
  </si>
  <si>
    <t>Table 1  —  IRR by Exit Year and Exit EBITDA Multiple</t>
  </si>
  <si>
    <t>Multiple \ Year</t>
  </si>
  <si>
    <t>Table 2  —  IRR by Exit EBITDA Multiple and Exit-Year EBITDA (2019 exit)</t>
  </si>
  <si>
    <t>Multiple \ EBITDA</t>
  </si>
  <si>
    <t>Table 3  —  Money Multiple (MoM) by Exit EBITDA Multiple and Exit-Year EBITDA (2019 exit)</t>
  </si>
  <si>
    <t>Note: Tables 2 and 3 flex exit-year EBITDA only; the debt repayment path and net debt at exit are held at the base case. Table 1 is exact — the exit multiple affects terminal value only, not the operating or debt schedule.</t>
  </si>
  <si>
    <t>Fair Market Value — Calculation of Value</t>
  </si>
  <si>
    <t>Illustrative engagement — not a real client; figures are constructed for demonstration purposes</t>
  </si>
  <si>
    <t>Engagement Overview</t>
  </si>
  <si>
    <t>Subject company</t>
  </si>
  <si>
    <t>Pacific Pearl Tea Co. Ltd.</t>
  </si>
  <si>
    <t>Business description</t>
  </si>
  <si>
    <t>Operator of 9 corporate-owned bubble tea locations, Metro Vancouver</t>
  </si>
  <si>
    <t>Valuation date</t>
  </si>
  <si>
    <t>Standard of value</t>
  </si>
  <si>
    <t>Fair market value, going concern</t>
  </si>
  <si>
    <t>Interest valued</t>
  </si>
  <si>
    <t>100% of common equity, en bloc</t>
  </si>
  <si>
    <t>Report level</t>
  </si>
  <si>
    <t>Calculation of Value (lowest CBV assurance level)</t>
  </si>
  <si>
    <t>Primary approach</t>
  </si>
  <si>
    <t>Capitalized Cash Flow (income approach)</t>
  </si>
  <si>
    <t>Secondary approach</t>
  </si>
  <si>
    <t>Market approach — private transaction and public multiples</t>
  </si>
  <si>
    <t>Currency / units</t>
  </si>
  <si>
    <t>CAD thousands unless stated otherwise</t>
  </si>
  <si>
    <t>1.  Historical Operating Results</t>
  </si>
  <si>
    <t>FY2023</t>
  </si>
  <si>
    <t>FY2024</t>
  </si>
  <si>
    <t>FY2025</t>
  </si>
  <si>
    <t>Locations in operation</t>
  </si>
  <si>
    <t>Revenue per location</t>
  </si>
  <si>
    <t>Cost of product</t>
  </si>
  <si>
    <t>% of revenue</t>
  </si>
  <si>
    <t xml:space="preserve">   Cost of product % revenue</t>
  </si>
  <si>
    <t>Gross profit</t>
  </si>
  <si>
    <t>Store labour</t>
  </si>
  <si>
    <t xml:space="preserve">   Store labour % revenue</t>
  </si>
  <si>
    <t>Occupancy and rent</t>
  </si>
  <si>
    <t xml:space="preserve">   Occupancy % revenue</t>
  </si>
  <si>
    <t>Other store operating</t>
  </si>
  <si>
    <t xml:space="preserve">   Other store operating % revenue</t>
  </si>
  <si>
    <t>Corporate and administrative</t>
  </si>
  <si>
    <t>includes owner compensation</t>
  </si>
  <si>
    <t>Reported EBITDA</t>
  </si>
  <si>
    <t xml:space="preserve">   Reported EBITDA margin</t>
  </si>
  <si>
    <t>2.  EBITDA Normalization Bridge</t>
  </si>
  <si>
    <t>Basis for adjustment</t>
  </si>
  <si>
    <t>Add: owner compensation above market</t>
  </si>
  <si>
    <t>Owner draw vs $150k GM market rate</t>
  </si>
  <si>
    <t>Add: non-active family member on payroll</t>
  </si>
  <si>
    <t>Spouse salary, no operating role</t>
  </si>
  <si>
    <t>Add: discretionary personal expenses</t>
  </si>
  <si>
    <t>Vehicle, travel, meals charged to company</t>
  </si>
  <si>
    <t>Add: related-party rent above market</t>
  </si>
  <si>
    <t>Owner-held building: $220k charged vs $160k market</t>
  </si>
  <si>
    <t>Add: non-recurring legal settlement</t>
  </si>
  <si>
    <t>One-time landlord dispute, FY2025</t>
  </si>
  <si>
    <t>Add: one-time store relocation costs</t>
  </si>
  <si>
    <t>Lease-end move, one location</t>
  </si>
  <si>
    <t>Less: non-recurring government wage subsidy</t>
  </si>
  <si>
    <t>Programme ended; not maintainable</t>
  </si>
  <si>
    <t>Normalized EBITDA</t>
  </si>
  <si>
    <t xml:space="preserve">   Normalized EBITDA margin</t>
  </si>
  <si>
    <t>3.  Maintainable EBITDA</t>
  </si>
  <si>
    <t>Weight</t>
  </si>
  <si>
    <t>FY2023 normalized EBITDA</t>
  </si>
  <si>
    <t>FY2024 normalized EBITDA</t>
  </si>
  <si>
    <t>FY2025 normalized EBITDA</t>
  </si>
  <si>
    <t>Total weight check</t>
  </si>
  <si>
    <t>Maintainable EBITDA</t>
  </si>
  <si>
    <t xml:space="preserve">   Weighting rationale</t>
  </si>
  <si>
    <t>Weighted toward FY2025 to reflect the current 9-location footprint</t>
  </si>
  <si>
    <t>4.  Discount Rate — Build-Up Method</t>
  </si>
  <si>
    <t>Source / rationale</t>
  </si>
  <si>
    <t>Risk-free rate</t>
  </si>
  <si>
    <t>GoC 20-year benchmark bond at valuation date</t>
  </si>
  <si>
    <t>Add: equity risk premium</t>
  </si>
  <si>
    <t>Long-run Canadian equity premium over long bonds</t>
  </si>
  <si>
    <t>Add: size premium</t>
  </si>
  <si>
    <t>Micro-cap decile premium (Kroll / Duff &amp; Phelps convention)</t>
  </si>
  <si>
    <t>Add: industry risk premium</t>
  </si>
  <si>
    <t>Limited-service restaurants; cyclical discretionary spend</t>
  </si>
  <si>
    <t>Base cost of equity</t>
  </si>
  <si>
    <t>Company-specific risk premium (CSRP)</t>
  </si>
  <si>
    <t xml:space="preserve">   Location and lease concentration</t>
  </si>
  <si>
    <t>3 of 9 leases expire within 24 months</t>
  </si>
  <si>
    <t xml:space="preserve">   Key-person dependency</t>
  </si>
  <si>
    <t>Owner controls supplier relationships and site selection</t>
  </si>
  <si>
    <t xml:space="preserve">   Thin management depth</t>
  </si>
  <si>
    <t>No CFO or second-tier operations manager</t>
  </si>
  <si>
    <t xml:space="preserve">   Brand licence / franchise renewal risk</t>
  </si>
  <si>
    <t>Regional licence subject to periodic renewal</t>
  </si>
  <si>
    <t>Total CSRP</t>
  </si>
  <si>
    <t>Cost of equity</t>
  </si>
  <si>
    <t>Weighted Average Cost of Capital</t>
  </si>
  <si>
    <t>Pre-tax cost of debt</t>
  </si>
  <si>
    <t>Bank term facility rate at valuation date</t>
  </si>
  <si>
    <t>Effective tax rate</t>
  </si>
  <si>
    <t>BC combined corporate rate, blended</t>
  </si>
  <si>
    <t>After-tax cost of debt</t>
  </si>
  <si>
    <t>Target debt weight</t>
  </si>
  <si>
    <t>Notional structure sustainable for a buyer of this size</t>
  </si>
  <si>
    <t>Target equity weight</t>
  </si>
  <si>
    <t>WACC</t>
  </si>
  <si>
    <t>Cross-check — CAPM using unlevered peer betas</t>
  </si>
  <si>
    <t>Independent check on the build-up result</t>
  </si>
  <si>
    <t>Median levered beta, listed QSR peers</t>
  </si>
  <si>
    <t>OLS regression, 60 monthly excess returns vs S&amp;P/TSX</t>
  </si>
  <si>
    <t>Median peer debt / equity</t>
  </si>
  <si>
    <t>Unlevered beta</t>
  </si>
  <si>
    <t>Hamada: βL / (1 + (1-t) × D/E)</t>
  </si>
  <si>
    <t>Relevered beta at target structure</t>
  </si>
  <si>
    <t>CAPM cost of equity, before size and CSRP</t>
  </si>
  <si>
    <t>Add: size premium and CSRP</t>
  </si>
  <si>
    <t>CAPM-based cost of equity</t>
  </si>
  <si>
    <t>Variance vs build-up method</t>
  </si>
  <si>
    <t>5.  Capitalized Cash Flow — En Bloc Enterprise Value</t>
  </si>
  <si>
    <t>Why CCF rather than a multi-year DCF</t>
  </si>
  <si>
    <t>Mature footprint, stable margins, no committed expansion programme — a single maintainable cash flow is more defensible than a five-year forecast</t>
  </si>
  <si>
    <t>Less: sustaining capital expenditures</t>
  </si>
  <si>
    <t xml:space="preserve">   Sustaining capex % revenue</t>
  </si>
  <si>
    <t>EBITDA less sustaining capex</t>
  </si>
  <si>
    <t>Less: notional income taxes</t>
  </si>
  <si>
    <t>Capex used as proxy for capital cost allowance</t>
  </si>
  <si>
    <t>Maintainable discretionary cash flow</t>
  </si>
  <si>
    <t>Long-term growth rate</t>
  </si>
  <si>
    <t>Below long-run nominal GDP; no committed new locations</t>
  </si>
  <si>
    <t>Capitalization rate</t>
  </si>
  <si>
    <t>WACC less long-term growth</t>
  </si>
  <si>
    <t>Capitalized value of operations (en bloc EV)</t>
  </si>
  <si>
    <t xml:space="preserve">   Implied EV / maintainable EBITDA</t>
  </si>
  <si>
    <t>6.  Equity Value Bridge</t>
  </si>
  <si>
    <t>En bloc enterprise value</t>
  </si>
  <si>
    <t>Redundant assets</t>
  </si>
  <si>
    <t>Add: cash in excess of operating requirement</t>
  </si>
  <si>
    <t>Balance sheet cash less notional operating float</t>
  </si>
  <si>
    <t>Add: cash surrender value of life insurance</t>
  </si>
  <si>
    <t>Corporate-held policy, not required in operations</t>
  </si>
  <si>
    <t>Add: non-operating investments</t>
  </si>
  <si>
    <t>Interest-bearing debt</t>
  </si>
  <si>
    <t>Less: bank term loan</t>
  </si>
  <si>
    <t>Less: equipment finance leases</t>
  </si>
  <si>
    <t>Less: shareholder loan</t>
  </si>
  <si>
    <t>Repayable on a share sale per the shareholders agreement</t>
  </si>
  <si>
    <t>Working capital adjustment</t>
  </si>
  <si>
    <t>Actual non-cash working capital</t>
  </si>
  <si>
    <t>Normal level of non-cash working capital</t>
  </si>
  <si>
    <t>Beverage retail runs a structural working capital deficit</t>
  </si>
  <si>
    <t>Surplus / (deficiency) vs normal</t>
  </si>
  <si>
    <t>Fair market value of 100% equity, en bloc</t>
  </si>
  <si>
    <t>7.  Market Approach — Cross-Check</t>
  </si>
  <si>
    <t>Low</t>
  </si>
  <si>
    <t>High</t>
  </si>
  <si>
    <t>Private transaction EV/EBITDA — small QSR chains</t>
  </si>
  <si>
    <t>Observed range for sub-$20m revenue operators</t>
  </si>
  <si>
    <t>Implied en bloc enterprise value</t>
  </si>
  <si>
    <t>Listed QSR peer EV/EBITDA</t>
  </si>
  <si>
    <t>Large-cap franchisors; scale, liquidity and brand advantages</t>
  </si>
  <si>
    <t>Less: size and marketability adjustment</t>
  </si>
  <si>
    <t>Judgmental; reflects scale, depth of management and liquidity</t>
  </si>
  <si>
    <t>Adjusted multiple</t>
  </si>
  <si>
    <t>Income approach implied multiple</t>
  </si>
  <si>
    <t>Conclusion</t>
  </si>
  <si>
    <t>8.  Value Conclusion and Sensitivity</t>
  </si>
  <si>
    <t>Concluded FMV, 100% equity, en bloc — midpoint</t>
  </si>
  <si>
    <t>Concluded range</t>
  </si>
  <si>
    <t xml:space="preserve">   Range width applied</t>
  </si>
  <si>
    <t>9.  Scope Limitations and Matters Not Addressed</t>
  </si>
  <si>
    <t>Basis of interest valued</t>
  </si>
  <si>
    <t>Value is stated on an en bloc controlling basis. A minority interest would attract a discount for lack of control and a discount for lack of marketability (DLOM); neither has been quantified here.</t>
  </si>
  <si>
    <t>Calculation of Value only — limited procedures, no site visit, no management interviews, no independent verification of the underlying records.</t>
  </si>
  <si>
    <t>Normalization adjustments</t>
  </si>
  <si>
    <t>Market compensation and market rent have been assumed rather than supported by third-party surveys or an appraisal.</t>
  </si>
  <si>
    <t>Risk premium inputs</t>
  </si>
  <si>
    <t>Size and industry premiums follow published convention; the CSRP is judgmental and is the single largest source of value sensitivity.</t>
  </si>
  <si>
    <t>The owner-held real estate is outside the subject entity and has not been valued.</t>
  </si>
  <si>
    <t>Tax structuring</t>
  </si>
  <si>
    <t>No consideration of safe income, capital dividend account, lifetime capital gains exemption or share-versus-asset sale structuring.</t>
  </si>
  <si>
    <t>10.  Sensitivity — Equity Value to Discount Rate and Long-Term Growth</t>
  </si>
  <si>
    <t>Net non-operating adjustments applied to every cell</t>
  </si>
  <si>
    <t>WACC \ growth</t>
  </si>
  <si>
    <t>（remark: add 的这些项都是Debit balance , 而less 那一项属于Credit balance ), 调整方向 = 相对于"公平交易下的可维持水平",报表数字是高了还是低了。费用记多了 → 加回;收入记多了(不可持续)→ 扣除。与借贷记账无关。</t>
  </si>
  <si>
    <t>Income approach multiple of 4.2x falls within both the private transaction range and the size-adjusted listed range — the two approaches corroborate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</si>
</sst>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0"/>
    <numFmt numFmtId="165" formatCode="&quot;$&quot;#,##0.00"/>
    <numFmt numFmtId="166" formatCode="0.0%;\(0.0%\);&quot;-&quot;"/>
    <numFmt numFmtId="167" formatCode="#,##0.0;\(#,##0.0\);&quot;-&quot;"/>
    <numFmt numFmtId="168" formatCode="0.0&quot;x&quot;"/>
    <numFmt numFmtId="169" formatCode="mm/dd/yyyy"/>
    <numFmt numFmtId="170" formatCode="#,##0.00;\(#,##0.00\);&quot;-&quot;"/>
    <numFmt numFmtId="171" formatCode="0.000&quot;x&quot;"/>
    <numFmt numFmtId="172" formatCode="#,##0.0"/>
    <numFmt numFmtId="173" formatCode="\+0%;\-0%;0%"/>
    <numFmt numFmtId="174" formatCode="\+0%;\-0%;&quot;Base&quot;"/>
    <numFmt numFmtId="175" formatCode="0.00&quot;x&quot;;\(0.00&quot;x&quot;\);&quot;-&quot;"/>
    <numFmt numFmtId="176" formatCode="#,##0;\(#,##0\);&quot;-&quot;"/>
    <numFmt numFmtId="177" formatCode="0.0%"/>
    <numFmt numFmtId="178" formatCode="0.000%"/>
  </numFmts>
  <fonts count="5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0"/>
      <color theme="1"/>
      <name val="Calibri"/>
      <scheme val="minor"/>
    </font>
    <font>
      <sz val="10"/>
      <color rgb="FF0000FF"/>
      <name val="Calibri"/>
      <scheme val="minor"/>
    </font>
    <font>
      <b/>
      <sz val="10"/>
      <color theme="1"/>
      <name val="Calibri"/>
      <scheme val="minor"/>
    </font>
    <font>
      <sz val="10"/>
      <color rgb="FF212529"/>
      <name val="Calibri"/>
      <scheme val="minor"/>
    </font>
    <font>
      <b/>
      <sz val="10"/>
      <color rgb="FF0000FF"/>
      <name val="Calibri"/>
      <scheme val="minor"/>
    </font>
    <font>
      <i/>
      <sz val="10"/>
      <color theme="1"/>
      <name val="Calibri"/>
      <scheme val="minor"/>
    </font>
    <font>
      <b/>
      <sz val="10"/>
      <color rgb="FF212529"/>
      <name val="Calibri"/>
      <scheme val="minor"/>
    </font>
    <font>
      <b/>
      <sz val="18"/>
      <color rgb="FF1F3864"/>
      <name val="Calibri"/>
      <scheme val="minor"/>
    </font>
    <font>
      <i/>
      <sz val="10"/>
      <color rgb="FF595959"/>
      <name val="Calibri"/>
      <scheme val="minor"/>
    </font>
    <font>
      <b/>
      <sz val="10"/>
      <color rgb="FF1F3864"/>
      <name val="Calibri"/>
      <scheme val="minor"/>
    </font>
    <font>
      <b/>
      <sz val="11"/>
      <color rgb="FF000000"/>
      <name val="Calibri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i/>
      <sz val="10"/>
      <color rgb="FF000000"/>
      <name val="Calibri"/>
      <scheme val="minor"/>
    </font>
    <font>
      <i/>
      <sz val="10"/>
      <color rgb="FF0000FF"/>
      <name val="Calibri"/>
      <scheme val="minor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1F3864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0000FF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7"/>
      <color rgb="FF0070C0"/>
      <name val="Calibri"/>
      <family val="2"/>
      <scheme val="minor"/>
    </font>
    <font>
      <b/>
      <sz val="9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9"/>
      <color theme="8"/>
      <name val="Calibri"/>
      <family val="2"/>
      <scheme val="minor"/>
    </font>
    <font>
      <b/>
      <sz val="10"/>
      <color theme="8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1F38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4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0" fontId="5" fillId="0" borderId="7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0" fontId="5" fillId="0" borderId="8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6" fontId="5" fillId="0" borderId="8" xfId="0" applyNumberFormat="1" applyFont="1" applyBorder="1" applyAlignment="1">
      <alignment horizontal="center" vertical="center" wrapText="1"/>
    </xf>
    <xf numFmtId="166" fontId="5" fillId="0" borderId="7" xfId="0" applyNumberFormat="1" applyFont="1" applyBorder="1" applyAlignment="1">
      <alignment horizontal="center" vertical="center" wrapText="1"/>
    </xf>
    <xf numFmtId="167" fontId="5" fillId="0" borderId="7" xfId="0" applyNumberFormat="1" applyFont="1" applyBorder="1" applyAlignment="1">
      <alignment vertical="center" wrapText="1"/>
    </xf>
    <xf numFmtId="167" fontId="5" fillId="0" borderId="8" xfId="0" applyNumberFormat="1" applyFont="1" applyBorder="1" applyAlignment="1">
      <alignment horizontal="center" vertical="center" wrapText="1"/>
    </xf>
    <xf numFmtId="167" fontId="5" fillId="0" borderId="7" xfId="0" applyNumberFormat="1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 wrapText="1"/>
    </xf>
    <xf numFmtId="0" fontId="14" fillId="5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9" fontId="15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10" fontId="15" fillId="0" borderId="0" xfId="0" applyNumberFormat="1" applyFont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66" fontId="15" fillId="0" borderId="8" xfId="0" applyNumberFormat="1" applyFont="1" applyBorder="1" applyAlignment="1">
      <alignment horizontal="center" vertical="center" wrapText="1"/>
    </xf>
    <xf numFmtId="166" fontId="15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67" fontId="15" fillId="0" borderId="8" xfId="0" applyNumberFormat="1" applyFont="1" applyBorder="1" applyAlignment="1">
      <alignment horizontal="center" vertical="center" wrapText="1"/>
    </xf>
    <xf numFmtId="167" fontId="15" fillId="4" borderId="8" xfId="0" applyNumberFormat="1" applyFont="1" applyFill="1" applyBorder="1" applyAlignment="1">
      <alignment horizontal="center" vertical="center" wrapText="1"/>
    </xf>
    <xf numFmtId="167" fontId="15" fillId="0" borderId="7" xfId="0" applyNumberFormat="1" applyFont="1" applyBorder="1" applyAlignment="1">
      <alignment horizontal="center" vertical="center" wrapText="1"/>
    </xf>
    <xf numFmtId="167" fontId="15" fillId="4" borderId="7" xfId="0" applyNumberFormat="1" applyFont="1" applyFill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 wrapText="1"/>
    </xf>
    <xf numFmtId="167" fontId="16" fillId="4" borderId="7" xfId="0" applyNumberFormat="1" applyFont="1" applyFill="1" applyBorder="1" applyAlignment="1">
      <alignment horizontal="center" vertical="center" wrapText="1"/>
    </xf>
    <xf numFmtId="167" fontId="15" fillId="3" borderId="7" xfId="0" applyNumberFormat="1" applyFont="1" applyFill="1" applyBorder="1" applyAlignment="1">
      <alignment horizontal="center" vertical="center" wrapText="1"/>
    </xf>
    <xf numFmtId="167" fontId="16" fillId="3" borderId="7" xfId="0" applyNumberFormat="1" applyFont="1" applyFill="1" applyBorder="1" applyAlignment="1">
      <alignment horizontal="center" vertical="center" wrapText="1"/>
    </xf>
    <xf numFmtId="167" fontId="15" fillId="2" borderId="7" xfId="0" applyNumberFormat="1" applyFont="1" applyFill="1" applyBorder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164" fontId="14" fillId="5" borderId="7" xfId="0" applyNumberFormat="1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167" fontId="15" fillId="0" borderId="3" xfId="0" applyNumberFormat="1" applyFont="1" applyBorder="1" applyAlignment="1">
      <alignment horizontal="center" vertical="center" wrapText="1"/>
    </xf>
    <xf numFmtId="167" fontId="15" fillId="0" borderId="4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67" fontId="15" fillId="0" borderId="2" xfId="0" applyNumberFormat="1" applyFont="1" applyBorder="1" applyAlignment="1">
      <alignment horizontal="center" vertical="center" wrapText="1"/>
    </xf>
    <xf numFmtId="167" fontId="17" fillId="0" borderId="7" xfId="0" applyNumberFormat="1" applyFont="1" applyBorder="1" applyAlignment="1">
      <alignment horizontal="center" vertical="center" wrapText="1"/>
    </xf>
    <xf numFmtId="167" fontId="17" fillId="3" borderId="7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vertical="center" wrapText="1"/>
    </xf>
    <xf numFmtId="164" fontId="14" fillId="5" borderId="0" xfId="0" applyNumberFormat="1" applyFont="1" applyFill="1" applyAlignment="1">
      <alignment vertical="center" wrapText="1"/>
    </xf>
    <xf numFmtId="167" fontId="15" fillId="3" borderId="8" xfId="0" applyNumberFormat="1" applyFont="1" applyFill="1" applyBorder="1" applyAlignment="1">
      <alignment horizontal="center" vertical="center" wrapText="1"/>
    </xf>
    <xf numFmtId="10" fontId="15" fillId="0" borderId="8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vertical="center" wrapText="1"/>
    </xf>
    <xf numFmtId="0" fontId="15" fillId="4" borderId="7" xfId="0" applyFont="1" applyFill="1" applyBorder="1" applyAlignment="1">
      <alignment horizontal="center" vertical="center" wrapText="1"/>
    </xf>
    <xf numFmtId="168" fontId="15" fillId="4" borderId="7" xfId="0" applyNumberFormat="1" applyFont="1" applyFill="1" applyBorder="1" applyAlignment="1">
      <alignment horizontal="center" vertical="center" wrapText="1"/>
    </xf>
    <xf numFmtId="166" fontId="15" fillId="4" borderId="7" xfId="0" applyNumberFormat="1" applyFont="1" applyFill="1" applyBorder="1" applyAlignment="1">
      <alignment horizontal="center" vertical="center" wrapText="1"/>
    </xf>
    <xf numFmtId="0" fontId="15" fillId="4" borderId="7" xfId="0" applyFont="1" applyFill="1" applyBorder="1"/>
    <xf numFmtId="167" fontId="15" fillId="4" borderId="7" xfId="0" applyNumberFormat="1" applyFont="1" applyFill="1" applyBorder="1"/>
    <xf numFmtId="0" fontId="15" fillId="0" borderId="0" xfId="0" applyFont="1"/>
    <xf numFmtId="167" fontId="15" fillId="0" borderId="0" xfId="0" applyNumberFormat="1" applyFont="1"/>
    <xf numFmtId="164" fontId="8" fillId="0" borderId="0" xfId="0" applyNumberFormat="1" applyFont="1" applyAlignment="1">
      <alignment horizontal="center" vertical="center" wrapText="1"/>
    </xf>
    <xf numFmtId="167" fontId="5" fillId="4" borderId="7" xfId="0" applyNumberFormat="1" applyFont="1" applyFill="1" applyBorder="1" applyAlignment="1">
      <alignment horizontal="center" vertical="center" wrapText="1"/>
    </xf>
    <xf numFmtId="167" fontId="18" fillId="0" borderId="7" xfId="0" applyNumberFormat="1" applyFont="1" applyBorder="1" applyAlignment="1">
      <alignment horizontal="center" vertical="center" wrapText="1"/>
    </xf>
    <xf numFmtId="10" fontId="5" fillId="0" borderId="7" xfId="1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7" fontId="1" fillId="2" borderId="0" xfId="0" applyNumberFormat="1" applyFont="1" applyFill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 wrapText="1"/>
    </xf>
    <xf numFmtId="170" fontId="15" fillId="4" borderId="7" xfId="0" applyNumberFormat="1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67" fontId="1" fillId="7" borderId="0" xfId="0" applyNumberFormat="1" applyFont="1" applyFill="1" applyAlignment="1">
      <alignment horizontal="center" vertical="center" wrapText="1"/>
    </xf>
    <xf numFmtId="170" fontId="16" fillId="4" borderId="7" xfId="0" applyNumberFormat="1" applyFont="1" applyFill="1" applyBorder="1" applyAlignment="1">
      <alignment horizontal="center" vertical="center" wrapText="1"/>
    </xf>
    <xf numFmtId="171" fontId="15" fillId="0" borderId="0" xfId="0" applyNumberFormat="1" applyFont="1" applyAlignment="1">
      <alignment horizontal="center" vertical="center" wrapText="1"/>
    </xf>
    <xf numFmtId="171" fontId="15" fillId="4" borderId="7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167" fontId="15" fillId="4" borderId="3" xfId="0" applyNumberFormat="1" applyFont="1" applyFill="1" applyBorder="1" applyAlignment="1">
      <alignment horizontal="center" vertical="center" wrapText="1"/>
    </xf>
    <xf numFmtId="167" fontId="15" fillId="4" borderId="0" xfId="0" applyNumberFormat="1" applyFont="1" applyFill="1" applyAlignment="1">
      <alignment horizontal="center" vertical="center" wrapText="1"/>
    </xf>
    <xf numFmtId="167" fontId="17" fillId="4" borderId="7" xfId="0" applyNumberFormat="1" applyFont="1" applyFill="1" applyBorder="1" applyAlignment="1">
      <alignment horizontal="center" vertical="center" wrapText="1"/>
    </xf>
    <xf numFmtId="164" fontId="15" fillId="4" borderId="0" xfId="0" applyNumberFormat="1" applyFont="1" applyFill="1" applyAlignment="1">
      <alignment vertical="center" wrapText="1"/>
    </xf>
    <xf numFmtId="164" fontId="14" fillId="4" borderId="0" xfId="0" applyNumberFormat="1" applyFont="1" applyFill="1" applyAlignment="1">
      <alignment vertical="center" wrapText="1"/>
    </xf>
    <xf numFmtId="1" fontId="16" fillId="4" borderId="10" xfId="0" applyNumberFormat="1" applyFont="1" applyFill="1" applyBorder="1" applyAlignment="1">
      <alignment horizontal="center" vertical="center" wrapText="1"/>
    </xf>
    <xf numFmtId="164" fontId="15" fillId="4" borderId="7" xfId="0" applyNumberFormat="1" applyFont="1" applyFill="1" applyBorder="1" applyAlignment="1">
      <alignment horizontal="center" vertical="center" wrapText="1"/>
    </xf>
    <xf numFmtId="164" fontId="14" fillId="4" borderId="7" xfId="0" applyNumberFormat="1" applyFont="1" applyFill="1" applyBorder="1" applyAlignment="1">
      <alignment horizontal="center" vertical="center" wrapText="1"/>
    </xf>
    <xf numFmtId="10" fontId="5" fillId="4" borderId="8" xfId="0" applyNumberFormat="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170" fontId="22" fillId="0" borderId="7" xfId="0" applyNumberFormat="1" applyFont="1" applyBorder="1" applyAlignment="1">
      <alignment horizontal="center" vertical="center" wrapText="1"/>
    </xf>
    <xf numFmtId="170" fontId="23" fillId="0" borderId="7" xfId="0" applyNumberFormat="1" applyFont="1" applyBorder="1" applyAlignment="1">
      <alignment horizontal="center" vertical="center" wrapText="1"/>
    </xf>
    <xf numFmtId="167" fontId="22" fillId="0" borderId="7" xfId="0" applyNumberFormat="1" applyFont="1" applyBorder="1" applyAlignment="1">
      <alignment horizontal="center" vertical="center" wrapText="1"/>
    </xf>
    <xf numFmtId="167" fontId="23" fillId="0" borderId="7" xfId="0" applyNumberFormat="1" applyFont="1" applyBorder="1" applyAlignment="1">
      <alignment horizontal="center" vertical="center" wrapText="1"/>
    </xf>
    <xf numFmtId="167" fontId="22" fillId="0" borderId="2" xfId="0" applyNumberFormat="1" applyFont="1" applyBorder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167" fontId="22" fillId="0" borderId="3" xfId="0" applyNumberFormat="1" applyFont="1" applyBorder="1" applyAlignment="1">
      <alignment horizontal="center" vertical="center" wrapText="1"/>
    </xf>
    <xf numFmtId="167" fontId="22" fillId="0" borderId="4" xfId="0" applyNumberFormat="1" applyFont="1" applyBorder="1" applyAlignment="1">
      <alignment horizontal="center" vertical="center" wrapText="1"/>
    </xf>
    <xf numFmtId="10" fontId="22" fillId="4" borderId="7" xfId="1" applyNumberFormat="1" applyFont="1" applyFill="1" applyBorder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0" fillId="5" borderId="0" xfId="0" applyFill="1"/>
    <xf numFmtId="0" fontId="25" fillId="5" borderId="0" xfId="0" applyFont="1" applyFill="1"/>
    <xf numFmtId="172" fontId="0" fillId="0" borderId="0" xfId="0" applyNumberFormat="1" applyAlignment="1">
      <alignment horizontal="center"/>
    </xf>
    <xf numFmtId="172" fontId="26" fillId="0" borderId="0" xfId="0" applyNumberFormat="1" applyFont="1" applyAlignment="1">
      <alignment horizontal="center"/>
    </xf>
    <xf numFmtId="168" fontId="26" fillId="0" borderId="0" xfId="0" applyNumberFormat="1" applyFont="1" applyAlignment="1">
      <alignment horizontal="center"/>
    </xf>
    <xf numFmtId="168" fontId="27" fillId="0" borderId="0" xfId="0" applyNumberFormat="1" applyFont="1" applyAlignment="1">
      <alignment horizontal="center"/>
    </xf>
    <xf numFmtId="0" fontId="24" fillId="0" borderId="0" xfId="0" applyFont="1"/>
    <xf numFmtId="1" fontId="0" fillId="0" borderId="0" xfId="0" applyNumberFormat="1" applyAlignment="1">
      <alignment horizontal="center"/>
    </xf>
    <xf numFmtId="1" fontId="24" fillId="0" borderId="0" xfId="0" applyNumberFormat="1" applyFont="1" applyAlignment="1">
      <alignment horizontal="center"/>
    </xf>
    <xf numFmtId="0" fontId="0" fillId="6" borderId="0" xfId="0" applyFill="1"/>
    <xf numFmtId="0" fontId="24" fillId="6" borderId="0" xfId="0" applyFont="1" applyFill="1"/>
    <xf numFmtId="0" fontId="29" fillId="0" borderId="0" xfId="0" applyFont="1"/>
    <xf numFmtId="0" fontId="28" fillId="6" borderId="12" xfId="0" applyFont="1" applyFill="1" applyBorder="1" applyAlignment="1">
      <alignment horizontal="center"/>
    </xf>
    <xf numFmtId="1" fontId="24" fillId="6" borderId="12" xfId="0" applyNumberFormat="1" applyFont="1" applyFill="1" applyBorder="1" applyAlignment="1">
      <alignment horizontal="center"/>
    </xf>
    <xf numFmtId="168" fontId="24" fillId="6" borderId="12" xfId="0" applyNumberFormat="1" applyFon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73" fontId="24" fillId="6" borderId="12" xfId="0" applyNumberFormat="1" applyFont="1" applyFill="1" applyBorder="1" applyAlignment="1">
      <alignment horizontal="center"/>
    </xf>
    <xf numFmtId="174" fontId="24" fillId="6" borderId="12" xfId="0" applyNumberFormat="1" applyFont="1" applyFill="1" applyBorder="1" applyAlignment="1">
      <alignment horizontal="center"/>
    </xf>
    <xf numFmtId="175" fontId="0" fillId="0" borderId="12" xfId="0" applyNumberFormat="1" applyBorder="1" applyAlignment="1">
      <alignment horizontal="center"/>
    </xf>
    <xf numFmtId="166" fontId="30" fillId="2" borderId="12" xfId="0" applyNumberFormat="1" applyFont="1" applyFill="1" applyBorder="1" applyAlignment="1">
      <alignment horizontal="center"/>
    </xf>
    <xf numFmtId="175" fontId="30" fillId="2" borderId="12" xfId="0" applyNumberFormat="1" applyFont="1" applyFill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27" fillId="0" borderId="0" xfId="0" applyFont="1"/>
    <xf numFmtId="0" fontId="35" fillId="0" borderId="0" xfId="0" applyFont="1"/>
    <xf numFmtId="15" fontId="27" fillId="0" borderId="0" xfId="0" applyNumberFormat="1" applyFont="1"/>
    <xf numFmtId="0" fontId="24" fillId="6" borderId="0" xfId="0" applyFont="1" applyFill="1" applyAlignment="1">
      <alignment horizontal="center"/>
    </xf>
    <xf numFmtId="1" fontId="27" fillId="0" borderId="0" xfId="0" applyNumberFormat="1" applyFont="1" applyAlignment="1">
      <alignment horizontal="center"/>
    </xf>
    <xf numFmtId="176" fontId="27" fillId="0" borderId="0" xfId="0" applyNumberFormat="1" applyFont="1"/>
    <xf numFmtId="0" fontId="37" fillId="0" borderId="0" xfId="0" applyFont="1"/>
    <xf numFmtId="0" fontId="39" fillId="0" borderId="0" xfId="0" applyFont="1"/>
    <xf numFmtId="0" fontId="28" fillId="0" borderId="0" xfId="0" applyFont="1" applyAlignment="1">
      <alignment horizontal="center"/>
    </xf>
    <xf numFmtId="9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0" fontId="40" fillId="0" borderId="0" xfId="0" applyFont="1"/>
    <xf numFmtId="177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9" fontId="38" fillId="0" borderId="0" xfId="0" applyNumberFormat="1" applyFont="1" applyAlignment="1">
      <alignment horizontal="center"/>
    </xf>
    <xf numFmtId="0" fontId="36" fillId="0" borderId="0" xfId="0" applyFont="1"/>
    <xf numFmtId="0" fontId="4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70" fontId="27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6" fillId="6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/>
    </xf>
    <xf numFmtId="164" fontId="16" fillId="6" borderId="9" xfId="0" applyNumberFormat="1" applyFont="1" applyFill="1" applyBorder="1" applyAlignment="1">
      <alignment horizontal="center" vertical="center" wrapText="1"/>
    </xf>
    <xf numFmtId="164" fontId="16" fillId="6" borderId="9" xfId="0" applyNumberFormat="1" applyFont="1" applyFill="1" applyBorder="1" applyAlignment="1">
      <alignment horizontal="center"/>
    </xf>
    <xf numFmtId="164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/>
    </xf>
    <xf numFmtId="0" fontId="45" fillId="4" borderId="12" xfId="0" applyFont="1" applyFill="1" applyBorder="1" applyAlignment="1">
      <alignment horizontal="center"/>
    </xf>
    <xf numFmtId="10" fontId="46" fillId="4" borderId="12" xfId="0" applyNumberFormat="1" applyFont="1" applyFill="1" applyBorder="1" applyAlignment="1">
      <alignment horizontal="center"/>
    </xf>
    <xf numFmtId="176" fontId="47" fillId="4" borderId="12" xfId="0" applyNumberFormat="1" applyFont="1" applyFill="1" applyBorder="1" applyAlignment="1">
      <alignment horizontal="center"/>
    </xf>
    <xf numFmtId="176" fontId="48" fillId="4" borderId="0" xfId="0" applyNumberFormat="1" applyFont="1" applyFill="1"/>
    <xf numFmtId="0" fontId="0" fillId="4" borderId="0" xfId="0" applyFill="1"/>
    <xf numFmtId="170" fontId="30" fillId="4" borderId="0" xfId="0" applyNumberFormat="1" applyFont="1" applyFill="1"/>
    <xf numFmtId="0" fontId="46" fillId="4" borderId="0" xfId="0" applyFont="1" applyFill="1"/>
    <xf numFmtId="0" fontId="47" fillId="4" borderId="0" xfId="0" applyFont="1" applyFill="1"/>
    <xf numFmtId="170" fontId="46" fillId="4" borderId="0" xfId="0" applyNumberFormat="1" applyFont="1" applyFill="1"/>
    <xf numFmtId="2" fontId="49" fillId="4" borderId="0" xfId="0" applyNumberFormat="1" applyFont="1" applyFill="1"/>
    <xf numFmtId="2" fontId="47" fillId="4" borderId="0" xfId="0" applyNumberFormat="1" applyFont="1" applyFill="1"/>
    <xf numFmtId="176" fontId="47" fillId="4" borderId="0" xfId="0" applyNumberFormat="1" applyFont="1" applyFill="1" applyAlignment="1">
      <alignment horizontal="center"/>
    </xf>
    <xf numFmtId="171" fontId="47" fillId="4" borderId="0" xfId="0" applyNumberFormat="1" applyFont="1" applyFill="1" applyAlignment="1">
      <alignment horizontal="center"/>
    </xf>
    <xf numFmtId="0" fontId="42" fillId="4" borderId="0" xfId="0" applyFont="1" applyFill="1"/>
    <xf numFmtId="170" fontId="41" fillId="4" borderId="0" xfId="0" applyNumberFormat="1" applyFont="1" applyFill="1"/>
    <xf numFmtId="177" fontId="38" fillId="4" borderId="0" xfId="0" applyNumberFormat="1" applyFont="1" applyFill="1"/>
    <xf numFmtId="176" fontId="27" fillId="4" borderId="0" xfId="0" applyNumberFormat="1" applyFont="1" applyFill="1"/>
    <xf numFmtId="178" fontId="42" fillId="4" borderId="0" xfId="0" applyNumberFormat="1" applyFont="1" applyFill="1"/>
    <xf numFmtId="9" fontId="27" fillId="4" borderId="0" xfId="0" applyNumberFormat="1" applyFont="1" applyFill="1" applyAlignment="1">
      <alignment horizontal="center"/>
    </xf>
    <xf numFmtId="9" fontId="43" fillId="4" borderId="0" xfId="0" applyNumberFormat="1" applyFont="1" applyFill="1" applyAlignment="1">
      <alignment horizontal="center"/>
    </xf>
    <xf numFmtId="2" fontId="41" fillId="4" borderId="0" xfId="0" applyNumberFormat="1" applyFont="1" applyFill="1" applyAlignment="1">
      <alignment horizontal="center"/>
    </xf>
    <xf numFmtId="10" fontId="41" fillId="4" borderId="0" xfId="0" applyNumberFormat="1" applyFont="1" applyFill="1" applyAlignment="1">
      <alignment horizontal="center"/>
    </xf>
    <xf numFmtId="10" fontId="30" fillId="4" borderId="0" xfId="0" applyNumberFormat="1" applyFont="1" applyFill="1" applyAlignment="1">
      <alignment horizontal="center"/>
    </xf>
    <xf numFmtId="9" fontId="41" fillId="4" borderId="0" xfId="0" applyNumberFormat="1" applyFont="1" applyFill="1" applyAlignment="1">
      <alignment horizontal="center"/>
    </xf>
    <xf numFmtId="170" fontId="41" fillId="4" borderId="0" xfId="0" applyNumberFormat="1" applyFont="1" applyFill="1" applyBorder="1"/>
    <xf numFmtId="177" fontId="38" fillId="4" borderId="0" xfId="0" applyNumberFormat="1" applyFont="1" applyFill="1" applyBorder="1" applyAlignment="1">
      <alignment horizontal="center"/>
    </xf>
    <xf numFmtId="170" fontId="30" fillId="4" borderId="0" xfId="0" applyNumberFormat="1" applyFont="1" applyFill="1" applyBorder="1"/>
    <xf numFmtId="0" fontId="0" fillId="4" borderId="0" xfId="0" applyFill="1" applyBorder="1"/>
    <xf numFmtId="10" fontId="27" fillId="4" borderId="0" xfId="0" applyNumberFormat="1" applyFont="1" applyFill="1" applyBorder="1" applyAlignment="1">
      <alignment horizontal="center"/>
    </xf>
    <xf numFmtId="10" fontId="41" fillId="4" borderId="0" xfId="0" applyNumberFormat="1" applyFont="1" applyFill="1" applyBorder="1" applyAlignment="1">
      <alignment horizontal="center"/>
    </xf>
    <xf numFmtId="170" fontId="30" fillId="4" borderId="0" xfId="0" applyNumberFormat="1" applyFont="1" applyFill="1" applyBorder="1" applyAlignment="1">
      <alignment horizontal="center"/>
    </xf>
    <xf numFmtId="168" fontId="42" fillId="4" borderId="13" xfId="0" applyNumberFormat="1" applyFont="1" applyFill="1" applyBorder="1" applyAlignment="1">
      <alignment horizontal="center"/>
    </xf>
    <xf numFmtId="0" fontId="42" fillId="4" borderId="13" xfId="0" applyFont="1" applyFill="1" applyBorder="1"/>
    <xf numFmtId="170" fontId="41" fillId="4" borderId="0" xfId="0" applyNumberFormat="1" applyFont="1" applyFill="1" applyAlignment="1">
      <alignment horizontal="center"/>
    </xf>
    <xf numFmtId="170" fontId="30" fillId="4" borderId="0" xfId="0" applyNumberFormat="1" applyFont="1" applyFill="1" applyAlignment="1">
      <alignment horizontal="center"/>
    </xf>
    <xf numFmtId="171" fontId="46" fillId="4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51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3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A686A1-2399-41DC-9293-BAE20506805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4aa7fef-1ddb-43d9-a253-5879de84959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"/>
  <sheetViews>
    <sheetView showGridLines="0" topLeftCell="A95" zoomScale="60" zoomScaleNormal="60" workbookViewId="0">
      <pane xSplit="3" topLeftCell="I1" activePane="topRight" state="frozen"/>
      <selection activeCell="A8" sqref="A8"/>
      <selection pane="topRight" activeCell="K213" sqref="K213"/>
    </sheetView>
  </sheetViews>
  <sheetFormatPr defaultRowHeight="14.4" x14ac:dyDescent="0.3"/>
  <cols>
    <col min="1" max="1" width="3.33203125" customWidth="1"/>
    <col min="2" max="2" width="46.33203125" customWidth="1"/>
    <col min="3" max="14" width="15.21875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63" customHeight="1" x14ac:dyDescent="0.3">
      <c r="A2" s="1"/>
      <c r="B2" s="16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8.6" customHeight="1" x14ac:dyDescent="0.3">
      <c r="A4" s="1"/>
      <c r="B4" s="17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18" t="s">
        <v>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1"/>
      <c r="B7" s="1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 ht="48.6" customHeight="1" x14ac:dyDescent="0.3">
      <c r="A8" s="1"/>
      <c r="B8" s="20" t="s">
        <v>3</v>
      </c>
      <c r="C8" s="39" t="s">
        <v>4</v>
      </c>
      <c r="D8" s="39"/>
      <c r="E8" s="40" t="s">
        <v>5</v>
      </c>
      <c r="F8" s="41">
        <v>41987</v>
      </c>
      <c r="G8" s="39"/>
      <c r="H8" s="40" t="s">
        <v>6</v>
      </c>
      <c r="I8" s="39" t="s">
        <v>7</v>
      </c>
      <c r="J8" s="38"/>
      <c r="K8" s="38" t="s">
        <v>8</v>
      </c>
      <c r="L8" s="38">
        <v>1</v>
      </c>
      <c r="M8" s="38"/>
      <c r="N8" s="38"/>
    </row>
    <row r="9" spans="1:14" ht="43.2" customHeight="1" x14ac:dyDescent="0.3">
      <c r="A9" s="1"/>
      <c r="B9" s="2" t="s">
        <v>9</v>
      </c>
      <c r="C9" s="22">
        <v>68.91</v>
      </c>
      <c r="D9" s="39"/>
      <c r="E9" s="39" t="s">
        <v>10</v>
      </c>
      <c r="F9" s="43">
        <f>C20</f>
        <v>5250.1598714999991</v>
      </c>
      <c r="G9" s="39"/>
      <c r="H9" s="39"/>
      <c r="I9" s="39"/>
      <c r="J9" s="38"/>
      <c r="K9" s="38"/>
      <c r="L9" s="38"/>
      <c r="M9" s="38"/>
      <c r="N9" s="38"/>
    </row>
    <row r="10" spans="1:14" ht="39.6" customHeight="1" x14ac:dyDescent="0.3">
      <c r="A10" s="1"/>
      <c r="B10" s="2" t="s">
        <v>11</v>
      </c>
      <c r="C10" s="23">
        <v>0.15</v>
      </c>
      <c r="D10" s="39"/>
      <c r="E10" s="39" t="s">
        <v>12</v>
      </c>
      <c r="F10" s="43">
        <f>C26</f>
        <v>6208.1598714999991</v>
      </c>
      <c r="G10" s="39"/>
      <c r="H10" s="39" t="s">
        <v>13</v>
      </c>
      <c r="I10" s="3">
        <v>3.0000000000000001E-3</v>
      </c>
      <c r="J10" s="38"/>
      <c r="K10" s="38"/>
      <c r="L10" s="38"/>
      <c r="M10" s="38"/>
      <c r="N10" s="38"/>
    </row>
    <row r="11" spans="1:14" ht="43.2" customHeight="1" x14ac:dyDescent="0.3">
      <c r="A11" s="1"/>
      <c r="B11" s="2" t="s">
        <v>14</v>
      </c>
      <c r="C11" s="42">
        <f>C9*(1+C10)</f>
        <v>79.246499999999983</v>
      </c>
      <c r="D11" s="39"/>
      <c r="E11" s="39" t="s">
        <v>15</v>
      </c>
      <c r="F11" s="46">
        <f>F10/F98</f>
        <v>11.915853880038386</v>
      </c>
      <c r="G11" s="39"/>
      <c r="H11" s="39" t="s">
        <v>16</v>
      </c>
      <c r="I11" s="3">
        <v>1.4999999999999999E-2</v>
      </c>
      <c r="J11" s="38"/>
      <c r="K11" s="38"/>
      <c r="L11" s="38"/>
      <c r="M11" s="38"/>
      <c r="N11" s="38"/>
    </row>
    <row r="12" spans="1:14" ht="43.2" customHeight="1" x14ac:dyDescent="0.3">
      <c r="A12" s="1"/>
      <c r="B12" s="2" t="s">
        <v>17</v>
      </c>
      <c r="C12" s="23">
        <v>0.72</v>
      </c>
      <c r="D12" s="39"/>
      <c r="E12" s="39" t="s">
        <v>18</v>
      </c>
      <c r="F12" s="43">
        <f>F9*C12</f>
        <v>3780.1151074799991</v>
      </c>
      <c r="G12" s="39"/>
      <c r="H12" s="39" t="s">
        <v>19</v>
      </c>
      <c r="I12" s="25">
        <v>15</v>
      </c>
      <c r="J12" s="38"/>
      <c r="K12" s="38"/>
      <c r="L12" s="38"/>
      <c r="M12" s="38"/>
      <c r="N12" s="38"/>
    </row>
    <row r="13" spans="1:14" x14ac:dyDescent="0.3">
      <c r="A13" s="1"/>
      <c r="B13" s="2"/>
      <c r="C13" s="39"/>
      <c r="D13" s="39"/>
      <c r="E13" s="39"/>
      <c r="F13" s="39"/>
      <c r="G13" s="39"/>
      <c r="H13" s="39"/>
      <c r="I13" s="39"/>
      <c r="J13" s="38"/>
      <c r="K13" s="38"/>
      <c r="L13" s="38"/>
      <c r="M13" s="38"/>
      <c r="N13" s="38"/>
    </row>
    <row r="14" spans="1:14" ht="28.8" customHeight="1" x14ac:dyDescent="0.3">
      <c r="A14" s="1"/>
      <c r="B14" s="2"/>
      <c r="C14" s="39"/>
      <c r="D14" s="39"/>
      <c r="E14" s="39"/>
      <c r="F14" s="39"/>
      <c r="G14" s="39"/>
      <c r="H14" s="40" t="s">
        <v>20</v>
      </c>
      <c r="I14" s="4">
        <v>10000</v>
      </c>
      <c r="J14" s="38"/>
      <c r="K14" s="38"/>
      <c r="L14" s="38"/>
      <c r="M14" s="38"/>
      <c r="N14" s="38"/>
    </row>
    <row r="15" spans="1:14" ht="48.6" customHeight="1" x14ac:dyDescent="0.3">
      <c r="A15" s="1"/>
      <c r="B15" s="19" t="s">
        <v>21</v>
      </c>
      <c r="C15" s="47"/>
      <c r="D15" s="47"/>
      <c r="E15" s="47"/>
      <c r="F15" s="47"/>
      <c r="G15" s="47"/>
      <c r="H15" s="102" t="s">
        <v>22</v>
      </c>
      <c r="I15" s="103">
        <v>50</v>
      </c>
      <c r="J15" s="37"/>
      <c r="K15" s="37"/>
      <c r="L15" s="37"/>
      <c r="M15" s="37"/>
      <c r="N15" s="37"/>
    </row>
    <row r="16" spans="1:14" x14ac:dyDescent="0.3">
      <c r="A16" s="1"/>
      <c r="B16" s="2"/>
      <c r="C16" s="39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ht="28.8" customHeight="1" x14ac:dyDescent="0.3">
      <c r="A17" s="1"/>
      <c r="B17" s="20" t="s">
        <v>23</v>
      </c>
      <c r="C17" s="24">
        <v>63.79</v>
      </c>
      <c r="D17" s="38"/>
      <c r="E17" s="49" t="s">
        <v>24</v>
      </c>
      <c r="F17" s="38"/>
      <c r="G17" s="38"/>
      <c r="H17" s="38"/>
      <c r="I17" s="38"/>
      <c r="J17" s="38"/>
      <c r="K17" s="38"/>
      <c r="L17" s="38"/>
      <c r="M17" s="38"/>
      <c r="N17" s="38"/>
    </row>
    <row r="18" spans="1:14" ht="28.8" customHeight="1" x14ac:dyDescent="0.3">
      <c r="A18" s="1"/>
      <c r="B18" s="2" t="s">
        <v>24</v>
      </c>
      <c r="C18" s="48">
        <f>C17+H25</f>
        <v>66.251000000000005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28.8" customHeight="1" x14ac:dyDescent="0.3">
      <c r="A19" s="1"/>
      <c r="B19" s="2"/>
      <c r="C19" s="39"/>
      <c r="D19" s="38"/>
      <c r="E19" s="50" t="s">
        <v>25</v>
      </c>
      <c r="F19" s="50" t="s">
        <v>26</v>
      </c>
      <c r="G19" s="50" t="s">
        <v>27</v>
      </c>
      <c r="H19" s="50" t="s">
        <v>28</v>
      </c>
      <c r="I19" s="38"/>
      <c r="J19" s="38"/>
      <c r="K19" s="38"/>
      <c r="L19" s="38"/>
      <c r="M19" s="38"/>
      <c r="N19" s="38"/>
    </row>
    <row r="20" spans="1:14" ht="43.2" customHeight="1" x14ac:dyDescent="0.3">
      <c r="A20" s="1"/>
      <c r="B20" s="6" t="s">
        <v>29</v>
      </c>
      <c r="C20" s="51">
        <f>C18*C11</f>
        <v>5250.1598714999991</v>
      </c>
      <c r="D20" s="38"/>
      <c r="E20" s="39" t="s">
        <v>30</v>
      </c>
      <c r="F20" s="27">
        <v>0.6</v>
      </c>
      <c r="G20" s="22">
        <v>20</v>
      </c>
      <c r="H20" s="52">
        <f>-(F20*G20/$C$11-F20)</f>
        <v>0.44857375404591993</v>
      </c>
      <c r="I20" s="38"/>
      <c r="J20" s="38"/>
      <c r="K20" s="38"/>
      <c r="L20" s="38"/>
      <c r="M20" s="38"/>
      <c r="N20" s="38"/>
    </row>
    <row r="21" spans="1:14" ht="57.6" customHeight="1" x14ac:dyDescent="0.3">
      <c r="A21" s="1"/>
      <c r="B21" s="2" t="s">
        <v>31</v>
      </c>
      <c r="C21" s="43">
        <f>-F104</f>
        <v>-192</v>
      </c>
      <c r="D21" s="38"/>
      <c r="E21" s="39" t="s">
        <v>32</v>
      </c>
      <c r="F21" s="27">
        <v>1.1000000000000001</v>
      </c>
      <c r="G21" s="22">
        <v>30</v>
      </c>
      <c r="H21" s="52">
        <f>-(F21*G21/$C$11-F21)</f>
        <v>0.68357782362627995</v>
      </c>
      <c r="I21" s="38"/>
      <c r="J21" s="38"/>
      <c r="K21" s="38"/>
      <c r="L21" s="38"/>
      <c r="M21" s="38"/>
      <c r="N21" s="38"/>
    </row>
    <row r="22" spans="1:14" ht="28.8" customHeight="1" x14ac:dyDescent="0.3">
      <c r="A22" s="1"/>
      <c r="B22" s="2" t="s">
        <v>33</v>
      </c>
      <c r="C22" s="43">
        <f>F126</f>
        <v>1150</v>
      </c>
      <c r="D22" s="38"/>
      <c r="E22" s="39" t="s">
        <v>34</v>
      </c>
      <c r="F22" s="27">
        <v>0.9</v>
      </c>
      <c r="G22" s="22">
        <v>40</v>
      </c>
      <c r="H22" s="52">
        <f>-(F22*G22/$C$11-F22)</f>
        <v>0.44572126213775998</v>
      </c>
      <c r="I22" s="38"/>
      <c r="J22" s="38"/>
      <c r="K22" s="38"/>
      <c r="L22" s="38"/>
      <c r="M22" s="38"/>
      <c r="N22" s="38"/>
    </row>
    <row r="23" spans="1:14" ht="57.6" customHeight="1" x14ac:dyDescent="0.3">
      <c r="A23" s="1"/>
      <c r="B23" s="2" t="s">
        <v>35</v>
      </c>
      <c r="C23" s="25">
        <v>0</v>
      </c>
      <c r="D23" s="38"/>
      <c r="E23" s="39" t="s">
        <v>36</v>
      </c>
      <c r="F23" s="27">
        <v>0.6</v>
      </c>
      <c r="G23" s="22">
        <v>55</v>
      </c>
      <c r="H23" s="52">
        <f>-(F23*G23/$C$11-F23)</f>
        <v>0.18357782362627989</v>
      </c>
      <c r="I23" s="38"/>
      <c r="J23" s="38"/>
      <c r="K23" s="38"/>
      <c r="L23" s="38"/>
      <c r="M23" s="38"/>
      <c r="N23" s="38"/>
    </row>
    <row r="24" spans="1:14" ht="43.2" customHeight="1" x14ac:dyDescent="0.3">
      <c r="A24" s="1"/>
      <c r="B24" s="2" t="s">
        <v>37</v>
      </c>
      <c r="C24" s="25">
        <v>0</v>
      </c>
      <c r="D24" s="38"/>
      <c r="E24" s="53" t="s">
        <v>38</v>
      </c>
      <c r="F24" s="28">
        <v>0.7</v>
      </c>
      <c r="G24" s="53"/>
      <c r="H24" s="52">
        <f>-(F24*G24/$C$11-F24)</f>
        <v>0.7</v>
      </c>
      <c r="I24" s="38"/>
      <c r="J24" s="38"/>
      <c r="K24" s="38"/>
      <c r="L24" s="38"/>
      <c r="M24" s="38"/>
      <c r="N24" s="38"/>
    </row>
    <row r="25" spans="1:14" ht="43.2" customHeight="1" x14ac:dyDescent="0.3">
      <c r="A25" s="1"/>
      <c r="B25" s="7" t="s">
        <v>39</v>
      </c>
      <c r="C25" s="26">
        <v>0</v>
      </c>
      <c r="D25" s="38"/>
      <c r="E25" s="40" t="s">
        <v>40</v>
      </c>
      <c r="F25" s="39"/>
      <c r="G25" s="39"/>
      <c r="H25" s="98">
        <v>2.4609999999999999</v>
      </c>
      <c r="I25" s="38"/>
      <c r="J25" s="38"/>
      <c r="K25" s="38"/>
      <c r="L25" s="38"/>
      <c r="M25" s="38"/>
      <c r="N25" s="38"/>
    </row>
    <row r="26" spans="1:14" ht="28.8" customHeight="1" x14ac:dyDescent="0.3">
      <c r="A26" s="1"/>
      <c r="B26" s="6" t="s">
        <v>41</v>
      </c>
      <c r="C26" s="51">
        <f>SUM(C20:C25)</f>
        <v>6208.1598714999991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x14ac:dyDescent="0.3">
      <c r="A27" s="1"/>
      <c r="B27" s="2"/>
      <c r="C27" s="39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 ht="19.95" customHeight="1" x14ac:dyDescent="0.3">
      <c r="A28" s="1"/>
      <c r="B28" s="19" t="s">
        <v>42</v>
      </c>
      <c r="C28" s="4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x14ac:dyDescent="0.3">
      <c r="A29" s="1"/>
      <c r="B29" s="2"/>
      <c r="C29" s="39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 ht="27.6" x14ac:dyDescent="0.3">
      <c r="A30" s="1"/>
      <c r="B30" s="20" t="s">
        <v>18</v>
      </c>
      <c r="C30" s="39"/>
      <c r="D30" s="38"/>
      <c r="E30" s="38"/>
      <c r="F30" s="40" t="s">
        <v>43</v>
      </c>
      <c r="G30" s="39"/>
      <c r="H30" s="39"/>
      <c r="I30" s="40" t="s">
        <v>44</v>
      </c>
      <c r="J30" s="39"/>
      <c r="K30" s="38"/>
      <c r="L30" s="38"/>
      <c r="M30" s="38"/>
      <c r="N30" s="38"/>
    </row>
    <row r="31" spans="1:14" x14ac:dyDescent="0.3">
      <c r="A31" s="1"/>
      <c r="B31" s="2"/>
      <c r="C31" s="39"/>
      <c r="D31" s="40" t="s">
        <v>45</v>
      </c>
      <c r="E31" s="38"/>
      <c r="F31" s="39"/>
      <c r="G31" s="39"/>
      <c r="H31" s="39"/>
      <c r="I31" s="39"/>
      <c r="J31" s="39"/>
      <c r="K31" s="38"/>
      <c r="L31" s="38"/>
      <c r="M31" s="38"/>
      <c r="N31" s="38"/>
    </row>
    <row r="32" spans="1:14" x14ac:dyDescent="0.3">
      <c r="A32" s="1"/>
      <c r="B32" s="20" t="s">
        <v>46</v>
      </c>
      <c r="C32" s="23">
        <v>7.0000000000000007E-2</v>
      </c>
      <c r="D32" s="43">
        <f>$D$36*C32</f>
        <v>264.60805752359994</v>
      </c>
      <c r="E32" s="38"/>
      <c r="F32" s="39" t="s">
        <v>46</v>
      </c>
      <c r="G32" s="39"/>
      <c r="H32" s="45" t="s">
        <v>47</v>
      </c>
      <c r="I32" s="39" t="s">
        <v>46</v>
      </c>
      <c r="J32" s="44" t="s">
        <v>48</v>
      </c>
      <c r="K32" s="38"/>
      <c r="L32" s="38"/>
      <c r="M32" s="38"/>
      <c r="N32" s="38"/>
    </row>
    <row r="33" spans="1:14" ht="43.2" customHeight="1" x14ac:dyDescent="0.3">
      <c r="A33" s="1"/>
      <c r="B33" s="2" t="s">
        <v>49</v>
      </c>
      <c r="C33" s="23">
        <v>0.21</v>
      </c>
      <c r="D33" s="43">
        <f>$D$36*C33</f>
        <v>793.82417257079976</v>
      </c>
      <c r="E33" s="38"/>
      <c r="F33" s="39" t="s">
        <v>49</v>
      </c>
      <c r="G33" s="39"/>
      <c r="H33" s="3">
        <v>6.25E-2</v>
      </c>
      <c r="I33" s="39" t="s">
        <v>49</v>
      </c>
      <c r="J33" s="23">
        <v>0.1</v>
      </c>
      <c r="K33" s="38"/>
      <c r="L33" s="38"/>
      <c r="M33" s="38"/>
      <c r="N33" s="38"/>
    </row>
    <row r="34" spans="1:14" ht="28.8" customHeight="1" x14ac:dyDescent="0.3">
      <c r="A34" s="1"/>
      <c r="B34" s="2" t="s">
        <v>50</v>
      </c>
      <c r="C34" s="23">
        <v>0.66</v>
      </c>
      <c r="D34" s="43">
        <f>$D$36*C34</f>
        <v>2494.8759709367996</v>
      </c>
      <c r="E34" s="38"/>
      <c r="F34" s="39" t="s">
        <v>50</v>
      </c>
      <c r="G34" s="39"/>
      <c r="H34" s="45" t="s">
        <v>51</v>
      </c>
      <c r="I34" s="39" t="s">
        <v>50</v>
      </c>
      <c r="J34" s="23">
        <v>0.01</v>
      </c>
      <c r="K34" s="38"/>
      <c r="L34" s="38"/>
      <c r="M34" s="38"/>
      <c r="N34" s="38"/>
    </row>
    <row r="35" spans="1:14" ht="43.2" customHeight="1" x14ac:dyDescent="0.3">
      <c r="A35" s="1"/>
      <c r="B35" s="7" t="s">
        <v>52</v>
      </c>
      <c r="C35" s="29">
        <v>0.06</v>
      </c>
      <c r="D35" s="43">
        <f>$D$36*C35</f>
        <v>226.80690644879994</v>
      </c>
      <c r="E35" s="38"/>
      <c r="F35" s="39" t="s">
        <v>52</v>
      </c>
      <c r="G35" s="39"/>
      <c r="H35" s="3">
        <v>0.12</v>
      </c>
      <c r="I35" s="39" t="s">
        <v>52</v>
      </c>
      <c r="J35" s="23">
        <v>0</v>
      </c>
      <c r="K35" s="38"/>
      <c r="L35" s="38"/>
      <c r="M35" s="38"/>
      <c r="N35" s="38"/>
    </row>
    <row r="36" spans="1:14" ht="43.2" customHeight="1" x14ac:dyDescent="0.3">
      <c r="A36" s="1"/>
      <c r="B36" s="6" t="s">
        <v>53</v>
      </c>
      <c r="C36" s="39"/>
      <c r="D36" s="51">
        <f>F12</f>
        <v>3780.1151074799991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3">
      <c r="A37" s="1"/>
      <c r="B37" s="2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ht="19.95" customHeight="1" x14ac:dyDescent="0.3">
      <c r="A38" s="1"/>
      <c r="B38" s="19" t="s">
        <v>54</v>
      </c>
      <c r="C38" s="4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</row>
    <row r="39" spans="1:14" x14ac:dyDescent="0.3">
      <c r="A39" s="1"/>
      <c r="B39" s="2"/>
      <c r="C39" s="39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3">
      <c r="A40" s="1"/>
      <c r="B40" s="20" t="s">
        <v>55</v>
      </c>
      <c r="C40" s="39"/>
      <c r="D40" s="38"/>
      <c r="E40" s="38"/>
      <c r="F40" s="40" t="s">
        <v>56</v>
      </c>
      <c r="G40" s="39"/>
      <c r="H40" s="39"/>
      <c r="I40" s="38"/>
      <c r="J40" s="38"/>
      <c r="K40" s="38"/>
      <c r="L40" s="38"/>
      <c r="M40" s="38"/>
      <c r="N40" s="38"/>
    </row>
    <row r="41" spans="1:14" ht="43.2" customHeight="1" x14ac:dyDescent="0.3">
      <c r="A41" s="1"/>
      <c r="B41" s="2" t="s">
        <v>49</v>
      </c>
      <c r="C41" s="43">
        <f>D33</f>
        <v>793.82417257079976</v>
      </c>
      <c r="D41" s="38"/>
      <c r="E41" s="38"/>
      <c r="F41" s="39" t="s">
        <v>57</v>
      </c>
      <c r="G41" s="39"/>
      <c r="H41" s="43">
        <f>F9</f>
        <v>5250.1598714999991</v>
      </c>
      <c r="I41" s="38"/>
      <c r="J41" s="38"/>
      <c r="K41" s="38"/>
      <c r="L41" s="38"/>
      <c r="M41" s="38"/>
      <c r="N41" s="38"/>
    </row>
    <row r="42" spans="1:14" ht="43.2" customHeight="1" x14ac:dyDescent="0.3">
      <c r="A42" s="1"/>
      <c r="B42" s="2" t="s">
        <v>50</v>
      </c>
      <c r="C42" s="43">
        <f>D34</f>
        <v>2494.8759709367996</v>
      </c>
      <c r="D42" s="38"/>
      <c r="E42" s="38"/>
      <c r="F42" s="39" t="s">
        <v>58</v>
      </c>
      <c r="G42" s="39"/>
      <c r="H42" s="43">
        <f>C22</f>
        <v>1150</v>
      </c>
      <c r="I42" s="38"/>
      <c r="J42" s="38"/>
      <c r="K42" s="38"/>
      <c r="L42" s="38"/>
      <c r="M42" s="38"/>
      <c r="N42" s="38"/>
    </row>
    <row r="43" spans="1:14" ht="43.2" customHeight="1" x14ac:dyDescent="0.3">
      <c r="A43" s="1"/>
      <c r="B43" s="2" t="s">
        <v>52</v>
      </c>
      <c r="C43" s="43">
        <f>D35</f>
        <v>226.80690644879994</v>
      </c>
      <c r="D43" s="38"/>
      <c r="E43" s="38"/>
      <c r="F43" s="39" t="s">
        <v>59</v>
      </c>
      <c r="G43" s="39"/>
      <c r="H43" s="43">
        <f>H41*I10</f>
        <v>15.750479614499998</v>
      </c>
      <c r="I43" s="38"/>
      <c r="J43" s="38"/>
      <c r="K43" s="38"/>
      <c r="L43" s="38"/>
      <c r="M43" s="38"/>
      <c r="N43" s="38"/>
    </row>
    <row r="44" spans="1:14" ht="57.6" customHeight="1" x14ac:dyDescent="0.3">
      <c r="A44" s="1"/>
      <c r="B44" s="7" t="s">
        <v>60</v>
      </c>
      <c r="C44" s="54">
        <f>C45-C41-C42-C43</f>
        <v>2972.1050277703007</v>
      </c>
      <c r="D44" s="38"/>
      <c r="E44" s="38"/>
      <c r="F44" s="39" t="s">
        <v>61</v>
      </c>
      <c r="G44" s="39"/>
      <c r="H44" s="43">
        <f>F12*I11</f>
        <v>56.701726612199984</v>
      </c>
      <c r="I44" s="38"/>
      <c r="J44" s="38"/>
      <c r="K44" s="38"/>
      <c r="L44" s="38"/>
      <c r="M44" s="38"/>
      <c r="N44" s="38"/>
    </row>
    <row r="45" spans="1:14" ht="43.2" customHeight="1" x14ac:dyDescent="0.3">
      <c r="A45" s="1"/>
      <c r="B45" s="6" t="s">
        <v>62</v>
      </c>
      <c r="C45" s="51">
        <f>H46</f>
        <v>6487.6120777266997</v>
      </c>
      <c r="D45" s="38"/>
      <c r="E45" s="38"/>
      <c r="F45" s="53" t="s">
        <v>19</v>
      </c>
      <c r="G45" s="53"/>
      <c r="H45" s="54">
        <f>I12</f>
        <v>15</v>
      </c>
      <c r="I45" s="38"/>
      <c r="J45" s="38"/>
      <c r="K45" s="38"/>
      <c r="L45" s="38"/>
      <c r="M45" s="38"/>
      <c r="N45" s="38"/>
    </row>
    <row r="46" spans="1:14" ht="28.8" customHeight="1" x14ac:dyDescent="0.3">
      <c r="A46" s="1"/>
      <c r="B46" s="2"/>
      <c r="C46" s="39"/>
      <c r="D46" s="38"/>
      <c r="E46" s="38"/>
      <c r="F46" s="40" t="s">
        <v>63</v>
      </c>
      <c r="G46" s="40"/>
      <c r="H46" s="51">
        <f>SUM(H41:H45)</f>
        <v>6487.6120777266997</v>
      </c>
      <c r="I46" s="38"/>
      <c r="J46" s="38"/>
      <c r="K46" s="38"/>
      <c r="L46" s="38"/>
      <c r="M46" s="38"/>
      <c r="N46" s="38"/>
    </row>
    <row r="47" spans="1:14" x14ac:dyDescent="0.3">
      <c r="A47" s="1"/>
      <c r="B47" s="2"/>
      <c r="C47" s="39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ht="19.95" customHeight="1" x14ac:dyDescent="0.3">
      <c r="A48" s="1"/>
      <c r="B48" s="176" t="s">
        <v>64</v>
      </c>
      <c r="C48" s="17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spans="1:14" x14ac:dyDescent="0.3">
      <c r="A49" s="1"/>
      <c r="B49" s="2"/>
      <c r="C49" s="39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ht="43.2" customHeight="1" x14ac:dyDescent="0.3">
      <c r="A50" s="1"/>
      <c r="B50" s="20" t="s">
        <v>65</v>
      </c>
      <c r="C50" s="39"/>
      <c r="D50" s="38"/>
      <c r="E50" s="38"/>
      <c r="F50" s="40" t="s">
        <v>66</v>
      </c>
      <c r="G50" s="39"/>
      <c r="H50" s="38"/>
      <c r="I50" s="38"/>
      <c r="J50" s="38"/>
      <c r="K50" s="38"/>
      <c r="L50" s="38"/>
      <c r="M50" s="38"/>
      <c r="N50" s="38"/>
    </row>
    <row r="51" spans="1:14" ht="43.2" customHeight="1" x14ac:dyDescent="0.3">
      <c r="A51" s="1"/>
      <c r="B51" s="2" t="s">
        <v>10</v>
      </c>
      <c r="C51" s="43">
        <f>F9</f>
        <v>5250.1598714999991</v>
      </c>
      <c r="D51" s="38"/>
      <c r="E51" s="38"/>
      <c r="F51" s="39" t="s">
        <v>67</v>
      </c>
      <c r="G51" s="23">
        <v>0.1</v>
      </c>
      <c r="H51" s="38"/>
      <c r="I51" s="38"/>
      <c r="J51" s="38"/>
      <c r="K51" s="38"/>
      <c r="L51" s="38"/>
      <c r="M51" s="38"/>
      <c r="N51" s="38"/>
    </row>
    <row r="52" spans="1:14" ht="57.6" customHeight="1" x14ac:dyDescent="0.3">
      <c r="A52" s="1"/>
      <c r="B52" s="2" t="s">
        <v>68</v>
      </c>
      <c r="C52" s="43">
        <f>-F141</f>
        <v>-1692</v>
      </c>
      <c r="D52" s="38"/>
      <c r="E52" s="38"/>
      <c r="F52" s="39" t="s">
        <v>69</v>
      </c>
      <c r="G52" s="43">
        <f>G51*F110</f>
        <v>198</v>
      </c>
      <c r="H52" s="38"/>
      <c r="I52" s="38"/>
      <c r="J52" s="38"/>
      <c r="K52" s="38"/>
      <c r="L52" s="38"/>
      <c r="M52" s="38"/>
      <c r="N52" s="38"/>
    </row>
    <row r="53" spans="1:14" ht="72" customHeight="1" x14ac:dyDescent="0.3">
      <c r="A53" s="1"/>
      <c r="B53" s="7" t="s">
        <v>70</v>
      </c>
      <c r="C53" s="54">
        <f>F111</f>
        <v>1150</v>
      </c>
      <c r="D53" s="38"/>
      <c r="E53" s="38"/>
      <c r="F53" s="39" t="s">
        <v>71</v>
      </c>
      <c r="G53" s="30">
        <v>8</v>
      </c>
      <c r="H53" s="38"/>
      <c r="I53" s="38"/>
      <c r="J53" s="38"/>
      <c r="K53" s="38"/>
      <c r="L53" s="38"/>
      <c r="M53" s="38"/>
      <c r="N53" s="38"/>
    </row>
    <row r="54" spans="1:14" ht="72" customHeight="1" x14ac:dyDescent="0.3">
      <c r="A54" s="1"/>
      <c r="B54" s="6" t="s">
        <v>72</v>
      </c>
      <c r="C54" s="51">
        <f>SUM(C51:C53)</f>
        <v>4708.1598714999991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</row>
    <row r="55" spans="1:14" ht="43.2" customHeight="1" x14ac:dyDescent="0.3">
      <c r="A55" s="1"/>
      <c r="B55" s="2" t="s">
        <v>73</v>
      </c>
      <c r="C55" s="43">
        <f>-G52</f>
        <v>-198</v>
      </c>
      <c r="D55" s="38"/>
      <c r="E55" s="38"/>
      <c r="F55" s="40" t="s">
        <v>74</v>
      </c>
      <c r="G55" s="39"/>
      <c r="H55" s="38"/>
      <c r="I55" s="38"/>
      <c r="J55" s="38"/>
      <c r="K55" s="38"/>
      <c r="L55" s="38"/>
      <c r="M55" s="38"/>
      <c r="N55" s="38"/>
    </row>
    <row r="56" spans="1:14" ht="72" customHeight="1" x14ac:dyDescent="0.3">
      <c r="A56" s="1"/>
      <c r="B56" s="2" t="s">
        <v>75</v>
      </c>
      <c r="C56" s="43">
        <f>-G58</f>
        <v>-1177.0399678749998</v>
      </c>
      <c r="D56" s="38"/>
      <c r="E56" s="38"/>
      <c r="F56" s="39" t="s">
        <v>76</v>
      </c>
      <c r="G56" s="43">
        <f>C54</f>
        <v>4708.1598714999991</v>
      </c>
      <c r="H56" s="38"/>
      <c r="I56" s="38"/>
      <c r="J56" s="38"/>
      <c r="K56" s="38"/>
      <c r="L56" s="38"/>
      <c r="M56" s="38"/>
      <c r="N56" s="38"/>
    </row>
    <row r="57" spans="1:14" ht="72" customHeight="1" x14ac:dyDescent="0.3">
      <c r="A57" s="1"/>
      <c r="B57" s="2" t="s">
        <v>77</v>
      </c>
      <c r="C57" s="43">
        <f>-F130</f>
        <v>-300</v>
      </c>
      <c r="D57" s="38"/>
      <c r="E57" s="38"/>
      <c r="F57" s="39" t="s">
        <v>78</v>
      </c>
      <c r="G57" s="23">
        <v>0.25</v>
      </c>
      <c r="H57" s="38"/>
      <c r="I57" s="38"/>
      <c r="J57" s="38"/>
      <c r="K57" s="38"/>
      <c r="L57" s="38"/>
      <c r="M57" s="38"/>
      <c r="N57" s="38"/>
    </row>
    <row r="58" spans="1:14" ht="72" customHeight="1" x14ac:dyDescent="0.3">
      <c r="A58" s="1"/>
      <c r="B58" s="7" t="s">
        <v>79</v>
      </c>
      <c r="C58" s="54">
        <f>(G58+G52)*F70</f>
        <v>1140.18314136195</v>
      </c>
      <c r="D58" s="38"/>
      <c r="E58" s="38"/>
      <c r="F58" s="39" t="s">
        <v>80</v>
      </c>
      <c r="G58" s="43">
        <f>G56*G57</f>
        <v>1177.0399678749998</v>
      </c>
      <c r="H58" s="38"/>
      <c r="I58" s="38"/>
      <c r="J58" s="38"/>
      <c r="K58" s="38"/>
      <c r="L58" s="38"/>
      <c r="M58" s="38"/>
      <c r="N58" s="38"/>
    </row>
    <row r="59" spans="1:14" ht="57.6" customHeight="1" x14ac:dyDescent="0.3">
      <c r="A59" s="1"/>
      <c r="B59" s="6" t="s">
        <v>81</v>
      </c>
      <c r="C59" s="51">
        <f>SUM(C54:C58)</f>
        <v>4173.3030449869493</v>
      </c>
      <c r="D59" s="38"/>
      <c r="E59" s="38"/>
      <c r="F59" s="39" t="s">
        <v>82</v>
      </c>
      <c r="G59" s="30">
        <v>5</v>
      </c>
      <c r="H59" s="38"/>
      <c r="I59" s="38"/>
      <c r="J59" s="38"/>
      <c r="K59" s="38"/>
      <c r="L59" s="38"/>
      <c r="M59" s="38"/>
      <c r="N59" s="38"/>
    </row>
    <row r="60" spans="1:14" x14ac:dyDescent="0.3">
      <c r="A60" s="1"/>
      <c r="B60" s="2"/>
      <c r="C60" s="39"/>
      <c r="D60" s="38"/>
      <c r="E60" s="38"/>
      <c r="F60" s="39"/>
      <c r="G60" s="39"/>
      <c r="H60" s="38"/>
      <c r="I60" s="38"/>
      <c r="J60" s="38"/>
      <c r="K60" s="38"/>
      <c r="L60" s="38"/>
      <c r="M60" s="38"/>
      <c r="N60" s="38"/>
    </row>
    <row r="61" spans="1:14" ht="72" customHeight="1" x14ac:dyDescent="0.3">
      <c r="A61" s="1"/>
      <c r="B61" s="20" t="s">
        <v>83</v>
      </c>
      <c r="C61" s="30">
        <v>5</v>
      </c>
      <c r="D61" s="38"/>
      <c r="E61" s="38"/>
      <c r="F61" s="40" t="s">
        <v>84</v>
      </c>
      <c r="G61" s="43">
        <f>C58</f>
        <v>1140.18314136195</v>
      </c>
      <c r="H61" s="38"/>
      <c r="I61" s="38"/>
      <c r="J61" s="38"/>
      <c r="K61" s="38"/>
      <c r="L61" s="38"/>
      <c r="M61" s="38"/>
      <c r="N61" s="38"/>
    </row>
    <row r="62" spans="1:14" x14ac:dyDescent="0.3">
      <c r="A62" s="1"/>
      <c r="B62" s="1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</row>
    <row r="63" spans="1:14" ht="19.95" customHeight="1" x14ac:dyDescent="0.3">
      <c r="A63" s="1"/>
      <c r="B63" s="18" t="s">
        <v>85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</row>
    <row r="64" spans="1:14" ht="14.4" customHeight="1" x14ac:dyDescent="0.3">
      <c r="A64" s="1"/>
      <c r="B64" s="1"/>
      <c r="C64" s="38"/>
      <c r="D64" s="178" t="s">
        <v>86</v>
      </c>
      <c r="E64" s="179"/>
      <c r="F64" s="179"/>
      <c r="G64" s="178" t="s">
        <v>87</v>
      </c>
      <c r="H64" s="179"/>
      <c r="I64" s="179"/>
      <c r="J64" s="178" t="s">
        <v>88</v>
      </c>
      <c r="K64" s="179"/>
      <c r="L64" s="179"/>
      <c r="M64" s="179"/>
      <c r="N64" s="179"/>
    </row>
    <row r="65" spans="1:14" x14ac:dyDescent="0.3">
      <c r="A65" s="1"/>
      <c r="B65" s="1"/>
      <c r="C65" s="38"/>
      <c r="D65" s="56">
        <v>2012</v>
      </c>
      <c r="E65" s="56">
        <v>2013</v>
      </c>
      <c r="F65" s="56">
        <v>2014</v>
      </c>
      <c r="G65" s="56" t="s">
        <v>89</v>
      </c>
      <c r="H65" s="56" t="s">
        <v>90</v>
      </c>
      <c r="I65" s="56">
        <v>2014</v>
      </c>
      <c r="J65" s="56">
        <v>2015</v>
      </c>
      <c r="K65" s="56">
        <v>2016</v>
      </c>
      <c r="L65" s="56">
        <v>2017</v>
      </c>
      <c r="M65" s="56">
        <v>2018</v>
      </c>
      <c r="N65" s="56">
        <v>2019</v>
      </c>
    </row>
    <row r="66" spans="1:14" ht="43.2" customHeight="1" x14ac:dyDescent="0.3">
      <c r="A66" s="1"/>
      <c r="B66" s="2" t="s">
        <v>91</v>
      </c>
      <c r="C66" s="38"/>
      <c r="D66" s="31">
        <v>0.11210000000000001</v>
      </c>
      <c r="E66" s="31">
        <v>2.75E-2</v>
      </c>
      <c r="F66" s="31">
        <v>1.7000000000000001E-2</v>
      </c>
      <c r="G66" s="57"/>
      <c r="H66" s="57"/>
      <c r="I66" s="57"/>
      <c r="J66" s="31">
        <v>3.5000000000000003E-2</v>
      </c>
      <c r="K66" s="31">
        <v>2.8000000000000001E-2</v>
      </c>
      <c r="L66" s="31">
        <v>3.2000000000000001E-2</v>
      </c>
      <c r="M66" s="31">
        <v>2.5000000000000001E-2</v>
      </c>
      <c r="N66" s="31">
        <v>2.1999999999999999E-2</v>
      </c>
    </row>
    <row r="67" spans="1:14" ht="28.8" customHeight="1" x14ac:dyDescent="0.3">
      <c r="A67" s="1"/>
      <c r="B67" s="2" t="s">
        <v>92</v>
      </c>
      <c r="C67" s="38"/>
      <c r="D67" s="32">
        <v>0.70069999999999999</v>
      </c>
      <c r="E67" s="32">
        <v>0.69920000000000004</v>
      </c>
      <c r="F67" s="32">
        <v>0.70009999999999994</v>
      </c>
      <c r="G67" s="58"/>
      <c r="H67" s="58"/>
      <c r="I67" s="58"/>
      <c r="J67" s="58">
        <f>AVERAGE($D67:$F67)</f>
        <v>0.70000000000000007</v>
      </c>
      <c r="K67" s="58">
        <f t="shared" ref="K67:N69" si="0">AVERAGE($D67:$F67)</f>
        <v>0.70000000000000007</v>
      </c>
      <c r="L67" s="58">
        <f t="shared" si="0"/>
        <v>0.70000000000000007</v>
      </c>
      <c r="M67" s="58">
        <f t="shared" si="0"/>
        <v>0.70000000000000007</v>
      </c>
      <c r="N67" s="58">
        <f t="shared" si="0"/>
        <v>0.70000000000000007</v>
      </c>
    </row>
    <row r="68" spans="1:14" ht="28.8" customHeight="1" x14ac:dyDescent="0.3">
      <c r="A68" s="1"/>
      <c r="B68" s="2" t="s">
        <v>93</v>
      </c>
      <c r="C68" s="38"/>
      <c r="D68" s="32">
        <v>0.21460000000000001</v>
      </c>
      <c r="E68" s="32">
        <v>0.22</v>
      </c>
      <c r="F68" s="32">
        <v>0.2266</v>
      </c>
      <c r="G68" s="58"/>
      <c r="H68" s="58"/>
      <c r="I68" s="58"/>
      <c r="J68" s="58">
        <f>AVERAGE($D68:$F68)</f>
        <v>0.22040000000000001</v>
      </c>
      <c r="K68" s="58">
        <f t="shared" si="0"/>
        <v>0.22040000000000001</v>
      </c>
      <c r="L68" s="58">
        <f t="shared" si="0"/>
        <v>0.22040000000000001</v>
      </c>
      <c r="M68" s="58">
        <f t="shared" si="0"/>
        <v>0.22040000000000001</v>
      </c>
      <c r="N68" s="58">
        <f t="shared" si="0"/>
        <v>0.22040000000000001</v>
      </c>
    </row>
    <row r="69" spans="1:14" ht="28.8" customHeight="1" x14ac:dyDescent="0.3">
      <c r="A69" s="1"/>
      <c r="B69" s="2" t="s">
        <v>94</v>
      </c>
      <c r="C69" s="38"/>
      <c r="D69" s="32">
        <v>2.1999999999999999E-2</v>
      </c>
      <c r="E69" s="32">
        <v>2.29E-2</v>
      </c>
      <c r="F69" s="32">
        <v>2.46E-2</v>
      </c>
      <c r="G69" s="58"/>
      <c r="H69" s="58"/>
      <c r="I69" s="58"/>
      <c r="J69" s="58">
        <f>AVERAGE($D69:$F69)</f>
        <v>2.3166666666666665E-2</v>
      </c>
      <c r="K69" s="58">
        <f t="shared" si="0"/>
        <v>2.3166666666666665E-2</v>
      </c>
      <c r="L69" s="58">
        <f t="shared" si="0"/>
        <v>2.3166666666666665E-2</v>
      </c>
      <c r="M69" s="58">
        <f t="shared" si="0"/>
        <v>2.3166666666666665E-2</v>
      </c>
      <c r="N69" s="58">
        <f t="shared" si="0"/>
        <v>2.3166666666666665E-2</v>
      </c>
    </row>
    <row r="70" spans="1:14" ht="28.8" customHeight="1" x14ac:dyDescent="0.3">
      <c r="A70" s="1"/>
      <c r="B70" s="2" t="s">
        <v>95</v>
      </c>
      <c r="C70" s="38"/>
      <c r="D70" s="32">
        <v>0.60270000000000001</v>
      </c>
      <c r="E70" s="32">
        <v>0.62029999999999996</v>
      </c>
      <c r="F70" s="32">
        <v>0.82920000000000005</v>
      </c>
      <c r="G70" s="58"/>
      <c r="H70" s="58"/>
      <c r="I70" s="58"/>
      <c r="J70" s="58">
        <f>AVERAGE($D70:$F70)</f>
        <v>0.68406666666666671</v>
      </c>
      <c r="K70" s="32">
        <v>0.68410000000000004</v>
      </c>
      <c r="L70" s="32">
        <v>0.68410000000000004</v>
      </c>
      <c r="M70" s="32">
        <v>0.68410000000000004</v>
      </c>
      <c r="N70" s="32">
        <v>0.68410000000000004</v>
      </c>
    </row>
    <row r="71" spans="1:14" x14ac:dyDescent="0.3">
      <c r="A71" s="1"/>
      <c r="B71" s="2"/>
      <c r="C71" s="38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</row>
    <row r="72" spans="1:14" ht="28.8" customHeight="1" x14ac:dyDescent="0.3">
      <c r="A72" s="1"/>
      <c r="B72" s="2" t="s">
        <v>96</v>
      </c>
      <c r="C72" s="38"/>
      <c r="D72" s="32">
        <v>0.15090000000000001</v>
      </c>
      <c r="E72" s="32">
        <v>0.15379999999999999</v>
      </c>
      <c r="F72" s="32">
        <v>0.16159999999999999</v>
      </c>
      <c r="G72" s="58"/>
      <c r="H72" s="58"/>
      <c r="I72" s="58"/>
      <c r="J72" s="58">
        <f>AVERAGE($D72:$F72)</f>
        <v>0.15543333333333331</v>
      </c>
      <c r="K72" s="58">
        <f>AVERAGE($D72:$F72)</f>
        <v>0.15543333333333331</v>
      </c>
      <c r="L72" s="58">
        <f>AVERAGE($D72:$F72)</f>
        <v>0.15543333333333331</v>
      </c>
      <c r="M72" s="58">
        <f>AVERAGE($D72:$F72)</f>
        <v>0.15543333333333331</v>
      </c>
      <c r="N72" s="58">
        <f>AVERAGE($D72:$F72)</f>
        <v>0.15543333333333331</v>
      </c>
    </row>
    <row r="73" spans="1:14" ht="57.6" customHeight="1" x14ac:dyDescent="0.3">
      <c r="A73" s="1"/>
      <c r="B73" s="2" t="s">
        <v>97</v>
      </c>
      <c r="C73" s="38"/>
      <c r="D73" s="32">
        <v>0.1027</v>
      </c>
      <c r="E73" s="32">
        <v>0.1072</v>
      </c>
      <c r="F73" s="32">
        <v>0.1055</v>
      </c>
      <c r="G73" s="58"/>
      <c r="H73" s="58"/>
      <c r="I73" s="58"/>
      <c r="J73" s="58">
        <f t="shared" ref="J73:N75" si="1">AVERAGE($D73:$F73)</f>
        <v>0.10513333333333334</v>
      </c>
      <c r="K73" s="58">
        <f t="shared" si="1"/>
        <v>0.10513333333333334</v>
      </c>
      <c r="L73" s="58">
        <f t="shared" si="1"/>
        <v>0.10513333333333334</v>
      </c>
      <c r="M73" s="58">
        <f t="shared" si="1"/>
        <v>0.10513333333333334</v>
      </c>
      <c r="N73" s="58">
        <f t="shared" si="1"/>
        <v>0.10513333333333334</v>
      </c>
    </row>
    <row r="74" spans="1:14" ht="43.2" customHeight="1" x14ac:dyDescent="0.3">
      <c r="A74" s="1"/>
      <c r="B74" s="2" t="s">
        <v>98</v>
      </c>
      <c r="C74" s="38"/>
      <c r="D74" s="32">
        <v>0.1363</v>
      </c>
      <c r="E74" s="32">
        <v>0.1411</v>
      </c>
      <c r="F74" s="32">
        <v>0.14460000000000001</v>
      </c>
      <c r="G74" s="58"/>
      <c r="H74" s="58"/>
      <c r="I74" s="58"/>
      <c r="J74" s="58">
        <f t="shared" si="1"/>
        <v>0.14066666666666666</v>
      </c>
      <c r="K74" s="58">
        <f t="shared" si="1"/>
        <v>0.14066666666666666</v>
      </c>
      <c r="L74" s="58">
        <f t="shared" si="1"/>
        <v>0.14066666666666666</v>
      </c>
      <c r="M74" s="58">
        <f t="shared" si="1"/>
        <v>0.14066666666666666</v>
      </c>
      <c r="N74" s="58">
        <f t="shared" si="1"/>
        <v>0.14066666666666666</v>
      </c>
    </row>
    <row r="75" spans="1:14" ht="57.6" customHeight="1" x14ac:dyDescent="0.3">
      <c r="A75" s="1"/>
      <c r="B75" s="2" t="s">
        <v>99</v>
      </c>
      <c r="C75" s="38"/>
      <c r="D75" s="32">
        <v>0.29430000000000001</v>
      </c>
      <c r="E75" s="32">
        <v>0.2989</v>
      </c>
      <c r="F75" s="32">
        <v>0.31019999999999998</v>
      </c>
      <c r="G75" s="58"/>
      <c r="H75" s="58"/>
      <c r="I75" s="58"/>
      <c r="J75" s="58">
        <f t="shared" si="1"/>
        <v>0.30113333333333331</v>
      </c>
      <c r="K75" s="58">
        <f t="shared" si="1"/>
        <v>0.30113333333333331</v>
      </c>
      <c r="L75" s="58">
        <f t="shared" si="1"/>
        <v>0.30113333333333331</v>
      </c>
      <c r="M75" s="58">
        <f t="shared" si="1"/>
        <v>0.30113333333333331</v>
      </c>
      <c r="N75" s="58">
        <f t="shared" si="1"/>
        <v>0.30113333333333331</v>
      </c>
    </row>
    <row r="76" spans="1:14" x14ac:dyDescent="0.3">
      <c r="A76" s="1"/>
      <c r="B76" s="2"/>
      <c r="C76" s="38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spans="1:14" ht="28.8" customHeight="1" x14ac:dyDescent="0.3">
      <c r="A77" s="1"/>
      <c r="B77" s="2" t="s">
        <v>100</v>
      </c>
      <c r="C77" s="38"/>
      <c r="D77" s="32">
        <v>2.1000000000000001E-2</v>
      </c>
      <c r="E77" s="32">
        <v>2.1000000000000001E-2</v>
      </c>
      <c r="F77" s="32">
        <v>0.02</v>
      </c>
      <c r="G77" s="58"/>
      <c r="H77" s="58"/>
      <c r="I77" s="58"/>
      <c r="J77" s="58">
        <f>AVERAGE($D77:$F77)</f>
        <v>2.0666666666666667E-2</v>
      </c>
      <c r="K77" s="58">
        <f>AVERAGE($D77:$F77)</f>
        <v>2.0666666666666667E-2</v>
      </c>
      <c r="L77" s="58">
        <f>AVERAGE($D77:$F77)</f>
        <v>2.0666666666666667E-2</v>
      </c>
      <c r="M77" s="58">
        <f>AVERAGE($D77:$F77)</f>
        <v>2.0666666666666667E-2</v>
      </c>
      <c r="N77" s="58">
        <f>AVERAGE($D77:$F77)</f>
        <v>2.0666666666666667E-2</v>
      </c>
    </row>
    <row r="78" spans="1:14" x14ac:dyDescent="0.3">
      <c r="A78" s="1"/>
      <c r="B78" s="2"/>
      <c r="C78" s="38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</row>
    <row r="79" spans="1:14" ht="19.95" customHeight="1" x14ac:dyDescent="0.3">
      <c r="A79" s="1"/>
      <c r="B79" s="19" t="s">
        <v>101</v>
      </c>
      <c r="C79" s="37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0" spans="1:14" ht="14.4" customHeight="1" x14ac:dyDescent="0.3">
      <c r="A80" s="1"/>
      <c r="B80" s="2"/>
      <c r="C80" s="38"/>
      <c r="D80" s="178" t="s">
        <v>86</v>
      </c>
      <c r="E80" s="179"/>
      <c r="F80" s="179"/>
      <c r="G80" s="178" t="s">
        <v>87</v>
      </c>
      <c r="H80" s="179"/>
      <c r="I80" s="179"/>
      <c r="J80" s="178" t="s">
        <v>88</v>
      </c>
      <c r="K80" s="179"/>
      <c r="L80" s="179"/>
      <c r="M80" s="179"/>
      <c r="N80" s="179"/>
    </row>
    <row r="81" spans="1:14" x14ac:dyDescent="0.3">
      <c r="A81" s="1"/>
      <c r="B81" s="2"/>
      <c r="C81" s="61">
        <v>2011</v>
      </c>
      <c r="D81" s="56">
        <v>2012</v>
      </c>
      <c r="E81" s="56">
        <v>2013</v>
      </c>
      <c r="F81" s="56">
        <v>2014</v>
      </c>
      <c r="G81" s="56" t="s">
        <v>89</v>
      </c>
      <c r="H81" s="56" t="s">
        <v>90</v>
      </c>
      <c r="I81" s="56">
        <v>2014</v>
      </c>
      <c r="J81" s="56">
        <v>2015</v>
      </c>
      <c r="K81" s="56">
        <v>2016</v>
      </c>
      <c r="L81" s="56">
        <v>2017</v>
      </c>
      <c r="M81" s="56">
        <v>2018</v>
      </c>
      <c r="N81" s="56">
        <v>2019</v>
      </c>
    </row>
    <row r="82" spans="1:14" x14ac:dyDescent="0.3">
      <c r="A82" s="1"/>
      <c r="B82" s="2" t="s">
        <v>102</v>
      </c>
      <c r="C82" s="33">
        <v>6121</v>
      </c>
      <c r="D82" s="34">
        <v>6807</v>
      </c>
      <c r="E82" s="34">
        <v>6994</v>
      </c>
      <c r="F82" s="34">
        <v>7113</v>
      </c>
      <c r="G82" s="62"/>
      <c r="H82" s="62"/>
      <c r="I82" s="62"/>
      <c r="J82" s="63">
        <f>F82*(1+J66)</f>
        <v>7361.954999999999</v>
      </c>
      <c r="K82" s="63">
        <f>J82*(1+K66)</f>
        <v>7568.0897399999994</v>
      </c>
      <c r="L82" s="63">
        <f>K82*(1+L66)</f>
        <v>7810.2686116799996</v>
      </c>
      <c r="M82" s="63">
        <f>L82*(1+M66)</f>
        <v>8005.5253269719988</v>
      </c>
      <c r="N82" s="63">
        <f>M82*(1+N66)</f>
        <v>8181.6468841653832</v>
      </c>
    </row>
    <row r="83" spans="1:14" ht="43.2" customHeight="1" x14ac:dyDescent="0.3">
      <c r="A83" s="1"/>
      <c r="B83" s="2" t="s">
        <v>103</v>
      </c>
      <c r="C83" s="38"/>
      <c r="D83" s="34">
        <v>4770</v>
      </c>
      <c r="E83" s="35">
        <v>4890</v>
      </c>
      <c r="F83" s="35">
        <v>4980</v>
      </c>
      <c r="G83" s="64"/>
      <c r="H83" s="64"/>
      <c r="I83" s="64"/>
      <c r="J83" s="65">
        <f>J82*AVERAGE($D$67:$F$67)</f>
        <v>5153.3684999999996</v>
      </c>
      <c r="K83" s="65">
        <f>K82*AVERAGE($D$67:$F$67)</f>
        <v>5297.6628179999998</v>
      </c>
      <c r="L83" s="65">
        <f>L82*AVERAGE($D$67:$F$67)</f>
        <v>5467.1880281760004</v>
      </c>
      <c r="M83" s="65">
        <f>M82*AVERAGE($D$67:$F$67)</f>
        <v>5603.8677288803992</v>
      </c>
      <c r="N83" s="65">
        <f>N82*AVERAGE($D$67:$F$67)</f>
        <v>5727.1528189157689</v>
      </c>
    </row>
    <row r="84" spans="1:14" ht="28.8" customHeight="1" x14ac:dyDescent="0.3">
      <c r="A84" s="1"/>
      <c r="B84" s="6" t="s">
        <v>104</v>
      </c>
      <c r="C84" s="38"/>
      <c r="D84" s="36">
        <v>2037</v>
      </c>
      <c r="E84" s="36">
        <v>2104</v>
      </c>
      <c r="F84" s="36">
        <v>2133</v>
      </c>
      <c r="G84" s="64"/>
      <c r="H84" s="64"/>
      <c r="I84" s="64"/>
      <c r="J84" s="67">
        <f>J82-J83</f>
        <v>2208.5864999999994</v>
      </c>
      <c r="K84" s="67">
        <f>K82-K83</f>
        <v>2270.4269219999996</v>
      </c>
      <c r="L84" s="67">
        <f>L82-L83</f>
        <v>2343.0805835039992</v>
      </c>
      <c r="M84" s="67">
        <f>M82-M83</f>
        <v>2401.6575980915995</v>
      </c>
      <c r="N84" s="67">
        <f>N82-N83</f>
        <v>2454.4940652496143</v>
      </c>
    </row>
    <row r="85" spans="1:14" x14ac:dyDescent="0.3">
      <c r="A85" s="1"/>
      <c r="B85" s="2"/>
      <c r="C85" s="38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</row>
    <row r="86" spans="1:14" ht="28.8" customHeight="1" x14ac:dyDescent="0.3">
      <c r="A86" s="1"/>
      <c r="B86" s="2" t="s">
        <v>105</v>
      </c>
      <c r="C86" s="38"/>
      <c r="D86" s="35">
        <v>1461</v>
      </c>
      <c r="E86" s="35">
        <v>1539</v>
      </c>
      <c r="F86" s="35">
        <v>1612</v>
      </c>
      <c r="G86" s="64"/>
      <c r="H86" s="64"/>
      <c r="I86" s="64"/>
      <c r="J86" s="65">
        <f>J82*AVERAGE($D$68:$F$68)</f>
        <v>1622.5748819999999</v>
      </c>
      <c r="K86" s="65">
        <f>K82*AVERAGE($D$68:$F$68)</f>
        <v>1668.006978696</v>
      </c>
      <c r="L86" s="65">
        <f>L82*AVERAGE($D$68:$F$68)</f>
        <v>1721.383202014272</v>
      </c>
      <c r="M86" s="65">
        <f>M82*AVERAGE($D$68:$F$68)</f>
        <v>1764.4177820646287</v>
      </c>
      <c r="N86" s="65">
        <f>N82*AVERAGE($D$68:$F$68)</f>
        <v>1803.2349732700507</v>
      </c>
    </row>
    <row r="87" spans="1:14" ht="57.6" customHeight="1" x14ac:dyDescent="0.3">
      <c r="A87" s="1"/>
      <c r="B87" s="2" t="s">
        <v>106</v>
      </c>
      <c r="C87" s="38"/>
      <c r="D87" s="35">
        <v>150</v>
      </c>
      <c r="E87" s="35">
        <v>160</v>
      </c>
      <c r="F87" s="35">
        <v>175</v>
      </c>
      <c r="G87" s="64"/>
      <c r="H87" s="64"/>
      <c r="I87" s="64"/>
      <c r="J87" s="65">
        <f>J82*AVERAGE($D$69:$F$69)</f>
        <v>170.55195749999996</v>
      </c>
      <c r="K87" s="65">
        <f>K82*AVERAGE($D$69:$F$69)</f>
        <v>175.32741230999997</v>
      </c>
      <c r="L87" s="65">
        <f>L82*AVERAGE($D$69:$F$69)</f>
        <v>180.93788950391999</v>
      </c>
      <c r="M87" s="65">
        <f>M82*AVERAGE($D$69:$F$69)</f>
        <v>185.46133674151795</v>
      </c>
      <c r="N87" s="65">
        <f>N82*AVERAGE($D$69:$F$69)</f>
        <v>189.54148614983137</v>
      </c>
    </row>
    <row r="88" spans="1:14" ht="57.6" customHeight="1" x14ac:dyDescent="0.3">
      <c r="A88" s="1"/>
      <c r="B88" s="2" t="s">
        <v>107</v>
      </c>
      <c r="C88" s="38"/>
      <c r="D88" s="64" t="s">
        <v>108</v>
      </c>
      <c r="E88" s="64" t="s">
        <v>108</v>
      </c>
      <c r="F88" s="64" t="s">
        <v>108</v>
      </c>
      <c r="G88" s="64"/>
      <c r="H88" s="64"/>
      <c r="I88" s="64"/>
      <c r="J88" s="65">
        <f>G52/G53</f>
        <v>24.75</v>
      </c>
      <c r="K88" s="65">
        <f>G52/G53</f>
        <v>24.75</v>
      </c>
      <c r="L88" s="65">
        <f>G52/G53</f>
        <v>24.75</v>
      </c>
      <c r="M88" s="65">
        <f>G52/G53</f>
        <v>24.75</v>
      </c>
      <c r="N88" s="65">
        <f>G52/G53</f>
        <v>24.75</v>
      </c>
    </row>
    <row r="89" spans="1:14" ht="72" customHeight="1" x14ac:dyDescent="0.3">
      <c r="A89" s="1"/>
      <c r="B89" s="2" t="s">
        <v>109</v>
      </c>
      <c r="C89" s="38"/>
      <c r="D89" s="64" t="s">
        <v>108</v>
      </c>
      <c r="E89" s="64" t="s">
        <v>108</v>
      </c>
      <c r="F89" s="64" t="s">
        <v>108</v>
      </c>
      <c r="G89" s="64"/>
      <c r="H89" s="64"/>
      <c r="I89" s="64"/>
      <c r="J89" s="65">
        <f>G58/G59</f>
        <v>235.40799357499995</v>
      </c>
      <c r="K89" s="65">
        <f>G58/G59</f>
        <v>235.40799357499995</v>
      </c>
      <c r="L89" s="65">
        <f>G58/G59</f>
        <v>235.40799357499995</v>
      </c>
      <c r="M89" s="65">
        <f>G58/G59</f>
        <v>235.40799357499995</v>
      </c>
      <c r="N89" s="65">
        <f>G58/G59</f>
        <v>235.40799357499995</v>
      </c>
    </row>
    <row r="90" spans="1:14" ht="57.6" customHeight="1" x14ac:dyDescent="0.3">
      <c r="A90" s="1"/>
      <c r="B90" s="2" t="s">
        <v>110</v>
      </c>
      <c r="C90" s="38"/>
      <c r="D90" s="64" t="s">
        <v>108</v>
      </c>
      <c r="E90" s="64" t="s">
        <v>108</v>
      </c>
      <c r="F90" s="64" t="s">
        <v>108</v>
      </c>
      <c r="G90" s="64"/>
      <c r="H90" s="64"/>
      <c r="I90" s="64"/>
      <c r="J90" s="65">
        <f>$H$44/5</f>
        <v>11.340345322439997</v>
      </c>
      <c r="K90" s="65">
        <f>$H$44/5</f>
        <v>11.340345322439997</v>
      </c>
      <c r="L90" s="65">
        <f>$H$44/5</f>
        <v>11.340345322439997</v>
      </c>
      <c r="M90" s="65">
        <f>$H$44/5</f>
        <v>11.340345322439997</v>
      </c>
      <c r="N90" s="65">
        <f>$H$44/5</f>
        <v>11.340345322439997</v>
      </c>
    </row>
    <row r="91" spans="1:14" ht="28.8" customHeight="1" x14ac:dyDescent="0.3">
      <c r="A91" s="1"/>
      <c r="B91" s="6" t="s">
        <v>111</v>
      </c>
      <c r="C91" s="38"/>
      <c r="D91" s="36">
        <v>426</v>
      </c>
      <c r="E91" s="36">
        <v>405</v>
      </c>
      <c r="F91" s="36">
        <v>346</v>
      </c>
      <c r="G91" s="64"/>
      <c r="H91" s="64"/>
      <c r="I91" s="64"/>
      <c r="J91" s="67">
        <f>J84-J86-J87-J88-J89-J90</f>
        <v>143.96132160255965</v>
      </c>
      <c r="K91" s="67">
        <f>K84-K86-K87-K88-K89-K90</f>
        <v>155.59419209655968</v>
      </c>
      <c r="L91" s="67">
        <f>L84-L86-L87-L88-L89-L90</f>
        <v>169.26115308836719</v>
      </c>
      <c r="M91" s="67">
        <f>M84-M86-M87-M88-M89-M90</f>
        <v>180.280140388013</v>
      </c>
      <c r="N91" s="67">
        <f>N84-N86-N87-N88-N89-N90</f>
        <v>190.21926693229236</v>
      </c>
    </row>
    <row r="92" spans="1:14" x14ac:dyDescent="0.3">
      <c r="A92" s="1"/>
      <c r="B92" s="2"/>
      <c r="C92" s="38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</row>
    <row r="93" spans="1:14" ht="43.2" customHeight="1" x14ac:dyDescent="0.3">
      <c r="A93" s="1"/>
      <c r="B93" s="2" t="s">
        <v>112</v>
      </c>
      <c r="C93" s="38"/>
      <c r="D93" s="35">
        <v>-56</v>
      </c>
      <c r="E93" s="35">
        <v>-60</v>
      </c>
      <c r="F93" s="35">
        <v>-65</v>
      </c>
      <c r="G93" s="64"/>
      <c r="H93" s="64"/>
      <c r="I93" s="64"/>
      <c r="J93" s="68">
        <f>J195</f>
        <v>-178.28103354885599</v>
      </c>
      <c r="K93" s="68">
        <f>SUM(K190:K194)</f>
        <v>-177.41745094835599</v>
      </c>
      <c r="L93" s="68" t="e">
        <f ca="1">SUM(L190:L194)</f>
        <v>#VALUE!</v>
      </c>
      <c r="M93" s="68" t="e">
        <f ca="1">SUM(M190:M194)</f>
        <v>#VALUE!</v>
      </c>
      <c r="N93" s="68" t="e">
        <f ca="1">SUM(N190:N194)</f>
        <v>#VALUE!</v>
      </c>
    </row>
    <row r="94" spans="1:14" ht="28.8" customHeight="1" x14ac:dyDescent="0.3">
      <c r="A94" s="1"/>
      <c r="B94" s="6" t="s">
        <v>113</v>
      </c>
      <c r="C94" s="38"/>
      <c r="D94" s="36">
        <v>370</v>
      </c>
      <c r="E94" s="36">
        <v>345</v>
      </c>
      <c r="F94" s="36">
        <v>281</v>
      </c>
      <c r="G94" s="64"/>
      <c r="H94" s="64"/>
      <c r="I94" s="64"/>
      <c r="J94" s="69">
        <f>-SUM(J91+J93)</f>
        <v>34.319711946296337</v>
      </c>
      <c r="K94" s="69">
        <f>K91+K93</f>
        <v>-21.823258851796311</v>
      </c>
      <c r="L94" s="69" t="e">
        <f ca="1">L91+L93</f>
        <v>#VALUE!</v>
      </c>
      <c r="M94" s="69" t="e">
        <f ca="1">M91+M93</f>
        <v>#VALUE!</v>
      </c>
      <c r="N94" s="69" t="e">
        <f ca="1">N91+N93</f>
        <v>#VALUE!</v>
      </c>
    </row>
    <row r="95" spans="1:14" ht="43.2" customHeight="1" x14ac:dyDescent="0.3">
      <c r="A95" s="1"/>
      <c r="B95" s="2" t="s">
        <v>114</v>
      </c>
      <c r="C95" s="38"/>
      <c r="D95" s="35">
        <v>223</v>
      </c>
      <c r="E95" s="35">
        <v>214</v>
      </c>
      <c r="F95" s="35">
        <v>233</v>
      </c>
      <c r="G95" s="64"/>
      <c r="H95" s="64"/>
      <c r="I95" s="64"/>
      <c r="J95" s="68">
        <f>J94*J70</f>
        <v>23.476970952063116</v>
      </c>
      <c r="K95" s="68">
        <f>MAX(K94,0)*K70</f>
        <v>0</v>
      </c>
      <c r="L95" s="68" t="e">
        <f ca="1">MAX(L94,0)*L70</f>
        <v>#VALUE!</v>
      </c>
      <c r="M95" s="68" t="e">
        <f ca="1">MAX(M94,0)*M70</f>
        <v>#VALUE!</v>
      </c>
      <c r="N95" s="68" t="e">
        <f ca="1">MAX(N94,0)*N70</f>
        <v>#VALUE!</v>
      </c>
    </row>
    <row r="96" spans="1:14" x14ac:dyDescent="0.3">
      <c r="A96" s="1"/>
      <c r="B96" s="2"/>
      <c r="C96" s="38"/>
      <c r="D96" s="64"/>
      <c r="E96" s="64"/>
      <c r="F96" s="64"/>
      <c r="G96" s="64"/>
      <c r="H96" s="64"/>
      <c r="I96" s="64"/>
      <c r="J96" s="70"/>
      <c r="K96" s="70"/>
      <c r="L96" s="70"/>
      <c r="M96" s="70"/>
      <c r="N96" s="70"/>
    </row>
    <row r="97" spans="1:14" ht="28.8" customHeight="1" x14ac:dyDescent="0.3">
      <c r="A97" s="1"/>
      <c r="B97" s="6" t="s">
        <v>115</v>
      </c>
      <c r="C97" s="38"/>
      <c r="D97" s="36">
        <v>147</v>
      </c>
      <c r="E97" s="36">
        <v>131</v>
      </c>
      <c r="F97" s="36">
        <v>48</v>
      </c>
      <c r="G97" s="64"/>
      <c r="H97" s="64"/>
      <c r="I97" s="64"/>
      <c r="J97" s="69">
        <f>J94-J95</f>
        <v>10.842740994233221</v>
      </c>
      <c r="K97" s="69">
        <f>K94-K95</f>
        <v>-21.823258851796311</v>
      </c>
      <c r="L97" s="69" t="e">
        <f ca="1">L94-L95</f>
        <v>#VALUE!</v>
      </c>
      <c r="M97" s="69" t="e">
        <f ca="1">M94-M95</f>
        <v>#VALUE!</v>
      </c>
      <c r="N97" s="69" t="e">
        <f ca="1">N94-N95</f>
        <v>#VALUE!</v>
      </c>
    </row>
    <row r="98" spans="1:14" x14ac:dyDescent="0.3">
      <c r="A98" s="1"/>
      <c r="B98" s="6" t="s">
        <v>116</v>
      </c>
      <c r="C98" s="38"/>
      <c r="D98" s="36">
        <v>576</v>
      </c>
      <c r="E98" s="36">
        <v>565</v>
      </c>
      <c r="F98" s="36">
        <v>521</v>
      </c>
      <c r="G98" s="64"/>
      <c r="H98" s="64"/>
      <c r="I98" s="64"/>
      <c r="J98" s="69">
        <f>J84-J86</f>
        <v>586.01161799999954</v>
      </c>
      <c r="K98" s="69"/>
      <c r="L98" s="69"/>
      <c r="M98" s="69"/>
      <c r="N98" s="69"/>
    </row>
    <row r="99" spans="1:14" x14ac:dyDescent="0.3">
      <c r="A99" s="1"/>
      <c r="B99" s="2"/>
      <c r="C99" s="38"/>
      <c r="D99" s="59"/>
      <c r="E99" s="59"/>
      <c r="F99" s="59"/>
      <c r="G99" s="59"/>
      <c r="H99" s="59"/>
      <c r="I99" s="59"/>
      <c r="J99" s="71"/>
      <c r="K99" s="71"/>
      <c r="L99" s="71"/>
      <c r="M99" s="71"/>
      <c r="N99" s="71"/>
    </row>
    <row r="100" spans="1:14" ht="19.95" customHeight="1" x14ac:dyDescent="0.3">
      <c r="A100" s="1"/>
      <c r="B100" s="19" t="s">
        <v>117</v>
      </c>
      <c r="C100" s="37"/>
      <c r="D100" s="60"/>
      <c r="E100" s="60"/>
      <c r="F100" s="60"/>
      <c r="G100" s="60"/>
      <c r="H100" s="60"/>
      <c r="I100" s="60"/>
      <c r="J100" s="72"/>
      <c r="K100" s="72"/>
      <c r="L100" s="72"/>
      <c r="M100" s="72"/>
      <c r="N100" s="72"/>
    </row>
    <row r="101" spans="1:14" ht="14.4" customHeight="1" x14ac:dyDescent="0.3">
      <c r="A101" s="1"/>
      <c r="B101" s="2"/>
      <c r="C101" s="38"/>
      <c r="D101" s="178" t="s">
        <v>86</v>
      </c>
      <c r="E101" s="179"/>
      <c r="F101" s="179"/>
      <c r="G101" s="178" t="s">
        <v>87</v>
      </c>
      <c r="H101" s="179"/>
      <c r="I101" s="179"/>
      <c r="J101" s="180" t="s">
        <v>88</v>
      </c>
      <c r="K101" s="181"/>
      <c r="L101" s="181"/>
      <c r="M101" s="181"/>
      <c r="N101" s="181"/>
    </row>
    <row r="102" spans="1:14" x14ac:dyDescent="0.3">
      <c r="A102" s="1"/>
      <c r="B102" s="2"/>
      <c r="C102" s="38"/>
      <c r="D102" s="56">
        <v>2012</v>
      </c>
      <c r="E102" s="56">
        <v>2013</v>
      </c>
      <c r="F102" s="56">
        <v>2014</v>
      </c>
      <c r="G102" s="56" t="s">
        <v>89</v>
      </c>
      <c r="H102" s="56" t="s">
        <v>90</v>
      </c>
      <c r="I102" s="56">
        <v>2014</v>
      </c>
      <c r="J102" s="56">
        <v>2015</v>
      </c>
      <c r="K102" s="56">
        <v>2016</v>
      </c>
      <c r="L102" s="56">
        <v>2017</v>
      </c>
      <c r="M102" s="56">
        <v>2018</v>
      </c>
      <c r="N102" s="56">
        <v>2019</v>
      </c>
    </row>
    <row r="103" spans="1:14" ht="28.8" customHeight="1" x14ac:dyDescent="0.3">
      <c r="A103" s="1"/>
      <c r="B103" s="20" t="s">
        <v>118</v>
      </c>
      <c r="C103" s="38"/>
      <c r="D103" s="73"/>
      <c r="E103" s="73"/>
      <c r="F103" s="73"/>
      <c r="G103" s="73"/>
      <c r="H103" s="73"/>
      <c r="I103" s="73"/>
      <c r="J103" s="74"/>
      <c r="K103" s="74"/>
      <c r="L103" s="74"/>
      <c r="M103" s="74"/>
      <c r="N103" s="74"/>
    </row>
    <row r="104" spans="1:14" ht="40.799999999999997" customHeight="1" x14ac:dyDescent="0.3">
      <c r="A104" s="1"/>
      <c r="B104" s="2" t="s">
        <v>119</v>
      </c>
      <c r="C104" s="38"/>
      <c r="D104" s="35">
        <v>180</v>
      </c>
      <c r="E104" s="35">
        <v>162</v>
      </c>
      <c r="F104" s="35">
        <v>192</v>
      </c>
      <c r="G104" s="64"/>
      <c r="H104" s="64"/>
      <c r="I104" s="35">
        <v>192</v>
      </c>
      <c r="J104" s="65">
        <f>$I$15</f>
        <v>50</v>
      </c>
      <c r="K104" s="65">
        <f>$I$15</f>
        <v>50</v>
      </c>
      <c r="L104" s="65">
        <f>$I$15</f>
        <v>50</v>
      </c>
      <c r="M104" s="65">
        <f>$I$15</f>
        <v>50</v>
      </c>
      <c r="N104" s="65">
        <f>$I$15</f>
        <v>50</v>
      </c>
    </row>
    <row r="105" spans="1:14" ht="40.200000000000003" customHeight="1" x14ac:dyDescent="0.3">
      <c r="A105" s="1"/>
      <c r="B105" s="2" t="s">
        <v>120</v>
      </c>
      <c r="C105" s="38"/>
      <c r="D105" s="35">
        <v>720</v>
      </c>
      <c r="E105" s="35">
        <v>752</v>
      </c>
      <c r="F105" s="35">
        <v>805</v>
      </c>
      <c r="G105" s="64"/>
      <c r="H105" s="64"/>
      <c r="I105" s="35">
        <v>805</v>
      </c>
      <c r="J105" s="65">
        <f>J83*J72</f>
        <v>801.00524384999983</v>
      </c>
      <c r="K105" s="65">
        <f>K83*K72</f>
        <v>823.43339067779982</v>
      </c>
      <c r="L105" s="65">
        <f>L83*L72</f>
        <v>849.78325917948951</v>
      </c>
      <c r="M105" s="65">
        <f>M83*M72</f>
        <v>871.02784065897663</v>
      </c>
      <c r="N105" s="65">
        <f>N83*N72</f>
        <v>890.19045315347421</v>
      </c>
    </row>
    <row r="106" spans="1:14" ht="43.2" customHeight="1" x14ac:dyDescent="0.3">
      <c r="A106" s="1"/>
      <c r="B106" s="7" t="s">
        <v>121</v>
      </c>
      <c r="C106" s="75"/>
      <c r="D106" s="35">
        <v>150</v>
      </c>
      <c r="E106" s="35">
        <v>165</v>
      </c>
      <c r="F106" s="35">
        <v>170</v>
      </c>
      <c r="G106" s="64"/>
      <c r="H106" s="64"/>
      <c r="I106" s="35">
        <v>170</v>
      </c>
      <c r="J106" s="65">
        <f>J86*J73</f>
        <v>170.58670592760001</v>
      </c>
      <c r="K106" s="65">
        <f>K86*K73</f>
        <v>175.36313369357282</v>
      </c>
      <c r="L106" s="65">
        <f>L86*L73</f>
        <v>180.97475397176714</v>
      </c>
      <c r="M106" s="65">
        <f>M86*M73</f>
        <v>185.49912282106132</v>
      </c>
      <c r="N106" s="65">
        <f>N86*N73</f>
        <v>189.58010352312468</v>
      </c>
    </row>
    <row r="107" spans="1:14" ht="34.200000000000003" customHeight="1" x14ac:dyDescent="0.3">
      <c r="A107" s="1"/>
      <c r="B107" s="6" t="s">
        <v>122</v>
      </c>
      <c r="C107" s="38"/>
      <c r="D107" s="36">
        <v>1050</v>
      </c>
      <c r="E107" s="36">
        <v>1079</v>
      </c>
      <c r="F107" s="36">
        <v>1167</v>
      </c>
      <c r="G107" s="64"/>
      <c r="H107" s="64"/>
      <c r="I107" s="36">
        <v>1167</v>
      </c>
      <c r="J107" s="67">
        <f>J104+J105+J106</f>
        <v>1021.5919497775999</v>
      </c>
      <c r="K107" s="67">
        <f>K104+K105+K106</f>
        <v>1048.7965243713727</v>
      </c>
      <c r="L107" s="67">
        <f>L104+L105+L106</f>
        <v>1080.7580131512566</v>
      </c>
      <c r="M107" s="67">
        <f>M104+M105+M106</f>
        <v>1106.5269634800379</v>
      </c>
      <c r="N107" s="67">
        <f>N104+N105+N106</f>
        <v>1129.770556676599</v>
      </c>
    </row>
    <row r="108" spans="1:14" x14ac:dyDescent="0.3">
      <c r="A108" s="1"/>
      <c r="B108" s="2"/>
      <c r="C108" s="38"/>
      <c r="D108" s="43"/>
      <c r="E108" s="43"/>
      <c r="F108" s="43"/>
      <c r="G108" s="76"/>
      <c r="H108" s="43"/>
      <c r="I108" s="77"/>
      <c r="J108" s="43"/>
      <c r="K108" s="43"/>
      <c r="L108" s="43"/>
      <c r="M108" s="43"/>
      <c r="N108" s="43"/>
    </row>
    <row r="109" spans="1:14" ht="43.2" customHeight="1" x14ac:dyDescent="0.3">
      <c r="A109" s="1"/>
      <c r="B109" s="20" t="s">
        <v>123</v>
      </c>
      <c r="C109" s="38"/>
      <c r="D109" s="43"/>
      <c r="E109" s="43"/>
      <c r="F109" s="43"/>
      <c r="G109" s="76"/>
      <c r="H109" s="43"/>
      <c r="I109" s="77"/>
      <c r="J109" s="43"/>
      <c r="K109" s="43"/>
      <c r="L109" s="43"/>
      <c r="M109" s="43"/>
      <c r="N109" s="43"/>
    </row>
    <row r="110" spans="1:14" x14ac:dyDescent="0.3">
      <c r="A110" s="1"/>
      <c r="B110" s="2" t="s">
        <v>124</v>
      </c>
      <c r="C110" s="38"/>
      <c r="D110" s="35">
        <v>1720</v>
      </c>
      <c r="E110" s="35">
        <v>1850</v>
      </c>
      <c r="F110" s="35">
        <v>1980</v>
      </c>
      <c r="G110" s="35">
        <v>198</v>
      </c>
      <c r="H110" s="64"/>
      <c r="I110" s="35">
        <v>2178</v>
      </c>
      <c r="J110" s="68">
        <f>I110+ABS(J162)-J87</f>
        <v>2159.5951125000001</v>
      </c>
      <c r="K110" s="68">
        <f>J110+ABS(K162)-K87</f>
        <v>2140.6748881500002</v>
      </c>
      <c r="L110" s="68">
        <f>K110+ABS(L162)-L87</f>
        <v>2121.1492166208004</v>
      </c>
      <c r="M110" s="68">
        <f>L110+ABS(M162)-M87</f>
        <v>2101.1354033033704</v>
      </c>
      <c r="N110" s="68">
        <f>M110+ABS(N162)-N87</f>
        <v>2080.6812860929567</v>
      </c>
    </row>
    <row r="111" spans="1:14" x14ac:dyDescent="0.3">
      <c r="A111" s="1"/>
      <c r="B111" s="2" t="s">
        <v>125</v>
      </c>
      <c r="C111" s="38"/>
      <c r="D111" s="35">
        <v>1150</v>
      </c>
      <c r="E111" s="35">
        <v>1150</v>
      </c>
      <c r="F111" s="35">
        <v>1150</v>
      </c>
      <c r="G111" s="35">
        <v>4173.3100000000004</v>
      </c>
      <c r="H111" s="35">
        <v>1150</v>
      </c>
      <c r="I111" s="35">
        <v>4173.3100000000004</v>
      </c>
      <c r="J111" s="65">
        <f>I111</f>
        <v>4173.3100000000004</v>
      </c>
      <c r="K111" s="65">
        <f>I111</f>
        <v>4173.3100000000004</v>
      </c>
      <c r="L111" s="65">
        <f>I111</f>
        <v>4173.3100000000004</v>
      </c>
      <c r="M111" s="65">
        <f>I111</f>
        <v>4173.3100000000004</v>
      </c>
      <c r="N111" s="65">
        <f>I111</f>
        <v>4173.3100000000004</v>
      </c>
    </row>
    <row r="112" spans="1:14" ht="28.8" customHeight="1" x14ac:dyDescent="0.3">
      <c r="A112" s="1"/>
      <c r="B112" s="2" t="s">
        <v>126</v>
      </c>
      <c r="C112" s="38"/>
      <c r="D112" s="35">
        <v>420</v>
      </c>
      <c r="E112" s="35">
        <v>410</v>
      </c>
      <c r="F112" s="35">
        <v>400</v>
      </c>
      <c r="G112" s="35">
        <v>1177.05</v>
      </c>
      <c r="H112" s="64"/>
      <c r="I112" s="35">
        <v>1577.05</v>
      </c>
      <c r="J112" s="65">
        <f t="shared" ref="J112:N113" si="2">I112-J89</f>
        <v>1341.6420064250001</v>
      </c>
      <c r="K112" s="65">
        <f t="shared" si="2"/>
        <v>1106.2340128500002</v>
      </c>
      <c r="L112" s="65">
        <f t="shared" si="2"/>
        <v>870.82601927500025</v>
      </c>
      <c r="M112" s="65">
        <f t="shared" si="2"/>
        <v>635.41802570000027</v>
      </c>
      <c r="N112" s="65">
        <f t="shared" si="2"/>
        <v>400.01003212500029</v>
      </c>
    </row>
    <row r="113" spans="1:14" ht="57.6" customHeight="1" x14ac:dyDescent="0.3">
      <c r="A113" s="1"/>
      <c r="B113" s="2" t="s">
        <v>61</v>
      </c>
      <c r="C113" s="38"/>
      <c r="D113" s="35">
        <v>25</v>
      </c>
      <c r="E113" s="35">
        <v>22</v>
      </c>
      <c r="F113" s="35">
        <v>18</v>
      </c>
      <c r="G113" s="35">
        <v>56.7</v>
      </c>
      <c r="H113" s="64"/>
      <c r="I113" s="35">
        <v>74.7</v>
      </c>
      <c r="J113" s="65">
        <f t="shared" si="2"/>
        <v>63.359654677560002</v>
      </c>
      <c r="K113" s="65">
        <f t="shared" si="2"/>
        <v>52.019309355120001</v>
      </c>
      <c r="L113" s="65">
        <f t="shared" si="2"/>
        <v>40.67896403268</v>
      </c>
      <c r="M113" s="65">
        <f t="shared" si="2"/>
        <v>29.338618710240002</v>
      </c>
      <c r="N113" s="65">
        <f t="shared" si="2"/>
        <v>17.998273387800005</v>
      </c>
    </row>
    <row r="114" spans="1:14" ht="28.8" customHeight="1" x14ac:dyDescent="0.3">
      <c r="A114" s="1"/>
      <c r="B114" s="2" t="s">
        <v>127</v>
      </c>
      <c r="C114" s="38"/>
      <c r="D114" s="35">
        <v>90</v>
      </c>
      <c r="E114" s="35">
        <v>95</v>
      </c>
      <c r="F114" s="35">
        <v>100</v>
      </c>
      <c r="G114" s="64"/>
      <c r="H114" s="64"/>
      <c r="I114" s="35">
        <v>100</v>
      </c>
      <c r="J114" s="65">
        <f>I114</f>
        <v>100</v>
      </c>
      <c r="K114" s="65">
        <f>I114</f>
        <v>100</v>
      </c>
      <c r="L114" s="65">
        <f>I114</f>
        <v>100</v>
      </c>
      <c r="M114" s="65">
        <f>I114</f>
        <v>100</v>
      </c>
      <c r="N114" s="65">
        <f>I114</f>
        <v>100</v>
      </c>
    </row>
    <row r="115" spans="1:14" ht="57.6" customHeight="1" x14ac:dyDescent="0.3">
      <c r="A115" s="1"/>
      <c r="B115" s="10" t="s">
        <v>128</v>
      </c>
      <c r="C115" s="78"/>
      <c r="D115" s="36">
        <v>3405</v>
      </c>
      <c r="E115" s="36">
        <v>3527</v>
      </c>
      <c r="F115" s="36">
        <v>3648</v>
      </c>
      <c r="G115" s="64"/>
      <c r="H115" s="64"/>
      <c r="I115" s="36">
        <v>8103.06</v>
      </c>
      <c r="J115" s="69">
        <f>J110+J111+J112+J113+J114</f>
        <v>7837.90677360256</v>
      </c>
      <c r="K115" s="69">
        <f>K110+K111+K112+K113+K114</f>
        <v>7572.2382103551199</v>
      </c>
      <c r="L115" s="69">
        <f>L110+L111+L112+L113+L114</f>
        <v>7305.9641999284804</v>
      </c>
      <c r="M115" s="69">
        <f>M110+M111+M112+M113+M114</f>
        <v>7039.2020477136111</v>
      </c>
      <c r="N115" s="69">
        <f>N110+N111+N112+N113+N114</f>
        <v>6771.9995916057569</v>
      </c>
    </row>
    <row r="116" spans="1:14" ht="28.8" customHeight="1" x14ac:dyDescent="0.3">
      <c r="A116" s="1"/>
      <c r="B116" s="6" t="s">
        <v>129</v>
      </c>
      <c r="C116" s="38"/>
      <c r="D116" s="36">
        <v>4455</v>
      </c>
      <c r="E116" s="36">
        <v>4606</v>
      </c>
      <c r="F116" s="36">
        <v>4815</v>
      </c>
      <c r="G116" s="64"/>
      <c r="H116" s="64"/>
      <c r="I116" s="36">
        <v>9270.06</v>
      </c>
      <c r="J116" s="69">
        <f>J107+J115</f>
        <v>8859.4987233801603</v>
      </c>
      <c r="K116" s="69">
        <f>K107+K115</f>
        <v>8621.0347347264924</v>
      </c>
      <c r="L116" s="69">
        <f>L107+L115</f>
        <v>8386.7222130797363</v>
      </c>
      <c r="M116" s="69">
        <f>M107+M115</f>
        <v>8145.7290111936491</v>
      </c>
      <c r="N116" s="69">
        <f>N107+N115</f>
        <v>7901.7701482823559</v>
      </c>
    </row>
    <row r="117" spans="1:14" x14ac:dyDescent="0.3">
      <c r="A117" s="1"/>
      <c r="B117" s="2"/>
      <c r="C117" s="38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</row>
    <row r="118" spans="1:14" x14ac:dyDescent="0.3">
      <c r="A118" s="1"/>
      <c r="B118" s="6"/>
      <c r="C118" s="38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</row>
    <row r="119" spans="1:14" ht="28.8" customHeight="1" x14ac:dyDescent="0.3">
      <c r="A119" s="1"/>
      <c r="B119" s="20" t="s">
        <v>130</v>
      </c>
      <c r="C119" s="38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</row>
    <row r="120" spans="1:14" x14ac:dyDescent="0.3">
      <c r="A120" s="1"/>
      <c r="B120" s="2" t="s">
        <v>46</v>
      </c>
      <c r="C120" s="38"/>
      <c r="D120" s="35">
        <v>50</v>
      </c>
      <c r="E120" s="35">
        <v>80</v>
      </c>
      <c r="F120" s="35">
        <v>100</v>
      </c>
      <c r="G120" s="64"/>
      <c r="H120" s="64"/>
      <c r="I120" s="35">
        <v>100</v>
      </c>
      <c r="J120" s="99">
        <v>0</v>
      </c>
      <c r="K120" s="99">
        <v>0</v>
      </c>
      <c r="L120" s="99">
        <v>0</v>
      </c>
      <c r="M120" s="99">
        <v>0</v>
      </c>
      <c r="N120" s="99">
        <v>0</v>
      </c>
    </row>
    <row r="121" spans="1:14" ht="28.8" customHeight="1" x14ac:dyDescent="0.3">
      <c r="A121" s="1"/>
      <c r="B121" s="2" t="s">
        <v>131</v>
      </c>
      <c r="C121" s="38"/>
      <c r="D121" s="35">
        <v>650</v>
      </c>
      <c r="E121" s="35">
        <v>690</v>
      </c>
      <c r="F121" s="35">
        <v>720</v>
      </c>
      <c r="G121" s="64"/>
      <c r="H121" s="64"/>
      <c r="I121" s="35">
        <v>720</v>
      </c>
      <c r="J121" s="65">
        <f>J83*J74</f>
        <v>724.90716899999995</v>
      </c>
      <c r="K121" s="65">
        <f>K83*K74</f>
        <v>745.20456973199998</v>
      </c>
      <c r="L121" s="65">
        <f>L83*L74</f>
        <v>769.05111596342408</v>
      </c>
      <c r="M121" s="65">
        <f>M83*M74</f>
        <v>788.27739386250948</v>
      </c>
      <c r="N121" s="65">
        <f>N83*N74</f>
        <v>805.61949652748478</v>
      </c>
    </row>
    <row r="122" spans="1:14" ht="43.2" customHeight="1" x14ac:dyDescent="0.3">
      <c r="A122" s="1"/>
      <c r="B122" s="2" t="s">
        <v>132</v>
      </c>
      <c r="C122" s="38"/>
      <c r="D122" s="35">
        <v>430</v>
      </c>
      <c r="E122" s="35">
        <v>460</v>
      </c>
      <c r="F122" s="35">
        <v>500</v>
      </c>
      <c r="G122" s="64"/>
      <c r="H122" s="64"/>
      <c r="I122" s="35">
        <v>500</v>
      </c>
      <c r="J122" s="65">
        <f>J86*J75</f>
        <v>488.61138279959994</v>
      </c>
      <c r="K122" s="65">
        <f>K86*K75</f>
        <v>502.2925015179888</v>
      </c>
      <c r="L122" s="65">
        <f>L86*L75</f>
        <v>518.36586156656438</v>
      </c>
      <c r="M122" s="65">
        <f>M86*M75</f>
        <v>531.32500810572844</v>
      </c>
      <c r="N122" s="65">
        <f>N86*N75</f>
        <v>543.01415828405459</v>
      </c>
    </row>
    <row r="123" spans="1:14" ht="43.2" customHeight="1" x14ac:dyDescent="0.3">
      <c r="A123" s="1"/>
      <c r="B123" s="11" t="s">
        <v>133</v>
      </c>
      <c r="C123" s="79"/>
      <c r="D123" s="36">
        <v>1130</v>
      </c>
      <c r="E123" s="36">
        <v>1230</v>
      </c>
      <c r="F123" s="36">
        <v>1320</v>
      </c>
      <c r="G123" s="64"/>
      <c r="H123" s="64"/>
      <c r="I123" s="35">
        <v>1320</v>
      </c>
      <c r="J123" s="67">
        <f>J120+J121+J122</f>
        <v>1213.5185517995999</v>
      </c>
      <c r="K123" s="67">
        <f>K120+K121+K122</f>
        <v>1247.4970712499887</v>
      </c>
      <c r="L123" s="67">
        <f>L120+L121+L122</f>
        <v>1287.4169775299883</v>
      </c>
      <c r="M123" s="67">
        <f>M120+M121+M122</f>
        <v>1319.6024019682379</v>
      </c>
      <c r="N123" s="67">
        <f>N120+N121+N122</f>
        <v>1348.6336548115394</v>
      </c>
    </row>
    <row r="124" spans="1:14" x14ac:dyDescent="0.3">
      <c r="A124" s="1"/>
      <c r="B124" s="2"/>
      <c r="C124" s="38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</row>
    <row r="125" spans="1:14" ht="43.2" customHeight="1" x14ac:dyDescent="0.3">
      <c r="A125" s="1"/>
      <c r="B125" s="20" t="s">
        <v>134</v>
      </c>
      <c r="C125" s="38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</row>
    <row r="126" spans="1:14" ht="57.6" customHeight="1" x14ac:dyDescent="0.3">
      <c r="A126" s="1"/>
      <c r="B126" s="2" t="s">
        <v>135</v>
      </c>
      <c r="C126" s="38"/>
      <c r="D126" s="35">
        <v>1200</v>
      </c>
      <c r="E126" s="35">
        <v>1050</v>
      </c>
      <c r="F126" s="35">
        <v>1150</v>
      </c>
      <c r="G126" s="35">
        <v>1150</v>
      </c>
      <c r="H126" s="64"/>
      <c r="I126" s="64" t="s">
        <v>108</v>
      </c>
      <c r="J126" s="65" t="s">
        <v>136</v>
      </c>
      <c r="K126" s="65" t="s">
        <v>136</v>
      </c>
      <c r="L126" s="65" t="s">
        <v>136</v>
      </c>
      <c r="M126" s="65" t="s">
        <v>136</v>
      </c>
      <c r="N126" s="65" t="s">
        <v>136</v>
      </c>
    </row>
    <row r="127" spans="1:14" ht="43.2" customHeight="1" x14ac:dyDescent="0.3">
      <c r="A127" s="1"/>
      <c r="B127" s="2" t="s">
        <v>49</v>
      </c>
      <c r="C127" s="38"/>
      <c r="D127" s="64" t="s">
        <v>108</v>
      </c>
      <c r="E127" s="64" t="s">
        <v>108</v>
      </c>
      <c r="F127" s="64" t="s">
        <v>108</v>
      </c>
      <c r="G127" s="64"/>
      <c r="H127" s="35">
        <v>793.83</v>
      </c>
      <c r="I127" s="35">
        <v>793.83</v>
      </c>
      <c r="J127" s="68">
        <f>I127+I168</f>
        <v>793.83</v>
      </c>
      <c r="K127" s="68" t="e">
        <f t="shared" ref="K127:N128" ca="1" si="3">J127+K168</f>
        <v>#VALUE!</v>
      </c>
      <c r="L127" s="68" t="e">
        <f t="shared" ca="1" si="3"/>
        <v>#VALUE!</v>
      </c>
      <c r="M127" s="68" t="e">
        <f t="shared" ca="1" si="3"/>
        <v>#VALUE!</v>
      </c>
      <c r="N127" s="68" t="e">
        <f t="shared" ca="1" si="3"/>
        <v>#VALUE!</v>
      </c>
    </row>
    <row r="128" spans="1:14" ht="28.8" customHeight="1" x14ac:dyDescent="0.3">
      <c r="A128" s="1"/>
      <c r="B128" s="2" t="s">
        <v>50</v>
      </c>
      <c r="C128" s="38"/>
      <c r="D128" s="64" t="s">
        <v>108</v>
      </c>
      <c r="E128" s="64" t="s">
        <v>108</v>
      </c>
      <c r="F128" s="64" t="s">
        <v>108</v>
      </c>
      <c r="G128" s="64"/>
      <c r="H128" s="35">
        <v>2494.89</v>
      </c>
      <c r="I128" s="35">
        <v>2494.89</v>
      </c>
      <c r="J128" s="65">
        <f>I128-I128*$J$34</f>
        <v>2469.9411</v>
      </c>
      <c r="K128" s="68">
        <f>J128-J128*$J$34</f>
        <v>2445.241689</v>
      </c>
      <c r="L128" s="68" t="e">
        <f t="shared" ca="1" si="3"/>
        <v>#VALUE!</v>
      </c>
      <c r="M128" s="68" t="e">
        <f t="shared" ca="1" si="3"/>
        <v>#VALUE!</v>
      </c>
      <c r="N128" s="68" t="e">
        <f t="shared" ca="1" si="3"/>
        <v>#VALUE!</v>
      </c>
    </row>
    <row r="129" spans="1:14" ht="43.2" customHeight="1" x14ac:dyDescent="0.3">
      <c r="A129" s="1"/>
      <c r="B129" s="2" t="s">
        <v>52</v>
      </c>
      <c r="C129" s="38"/>
      <c r="D129" s="64" t="s">
        <v>108</v>
      </c>
      <c r="E129" s="64" t="s">
        <v>108</v>
      </c>
      <c r="F129" s="64" t="s">
        <v>108</v>
      </c>
      <c r="G129" s="64"/>
      <c r="H129" s="35">
        <v>226.81</v>
      </c>
      <c r="I129" s="35">
        <v>226.81</v>
      </c>
      <c r="J129" s="65">
        <f>$I$129</f>
        <v>226.81</v>
      </c>
      <c r="K129" s="65">
        <f>$I$129</f>
        <v>226.81</v>
      </c>
      <c r="L129" s="65">
        <f>$I$129</f>
        <v>226.81</v>
      </c>
      <c r="M129" s="65">
        <f>$I$129</f>
        <v>226.81</v>
      </c>
      <c r="N129" s="65">
        <f>$I$129</f>
        <v>226.81</v>
      </c>
    </row>
    <row r="130" spans="1:14" ht="72" customHeight="1" x14ac:dyDescent="0.3">
      <c r="A130" s="1"/>
      <c r="B130" s="2" t="s">
        <v>137</v>
      </c>
      <c r="C130" s="38"/>
      <c r="D130" s="35">
        <v>250</v>
      </c>
      <c r="E130" s="35">
        <v>270</v>
      </c>
      <c r="F130" s="35">
        <v>300</v>
      </c>
      <c r="G130" s="35">
        <v>300</v>
      </c>
      <c r="H130" s="35">
        <v>1140.17</v>
      </c>
      <c r="I130" s="35">
        <v>1140.17</v>
      </c>
      <c r="J130" s="65">
        <f>I130</f>
        <v>1140.17</v>
      </c>
      <c r="K130" s="65">
        <f>I130</f>
        <v>1140.17</v>
      </c>
      <c r="L130" s="65">
        <f>I130</f>
        <v>1140.17</v>
      </c>
      <c r="M130" s="65">
        <f>I130</f>
        <v>1140.17</v>
      </c>
      <c r="N130" s="65">
        <f>I130</f>
        <v>1140.17</v>
      </c>
    </row>
    <row r="131" spans="1:14" ht="57.6" customHeight="1" x14ac:dyDescent="0.3">
      <c r="A131" s="1"/>
      <c r="B131" s="7" t="s">
        <v>138</v>
      </c>
      <c r="C131" s="75"/>
      <c r="D131" s="35">
        <v>235</v>
      </c>
      <c r="E131" s="35">
        <v>360</v>
      </c>
      <c r="F131" s="35">
        <v>353</v>
      </c>
      <c r="G131" s="64"/>
      <c r="H131" s="64"/>
      <c r="I131" s="35">
        <v>353</v>
      </c>
      <c r="J131" s="65">
        <f>I131</f>
        <v>353</v>
      </c>
      <c r="K131" s="65">
        <f>I131</f>
        <v>353</v>
      </c>
      <c r="L131" s="65">
        <f>I131</f>
        <v>353</v>
      </c>
      <c r="M131" s="65">
        <f>I131</f>
        <v>353</v>
      </c>
      <c r="N131" s="65">
        <f>I131</f>
        <v>353</v>
      </c>
    </row>
    <row r="132" spans="1:14" ht="57.6" customHeight="1" x14ac:dyDescent="0.3">
      <c r="A132" s="1"/>
      <c r="B132" s="5" t="s">
        <v>139</v>
      </c>
      <c r="C132" s="75"/>
      <c r="D132" s="36">
        <v>1685</v>
      </c>
      <c r="E132" s="36">
        <v>1680</v>
      </c>
      <c r="F132" s="36">
        <v>1803</v>
      </c>
      <c r="G132" s="64"/>
      <c r="H132" s="64"/>
      <c r="I132" s="36">
        <v>5008.7</v>
      </c>
      <c r="J132" s="69">
        <f>J126+J127+J128+J129+J130+J131</f>
        <v>4983.7510999999995</v>
      </c>
      <c r="K132" s="69" t="e">
        <f ca="1">K126+K127+K128+K129+K130+K131</f>
        <v>#VALUE!</v>
      </c>
      <c r="L132" s="69" t="e">
        <f ca="1">L126+L127+L128+L129+L130+L131</f>
        <v>#VALUE!</v>
      </c>
      <c r="M132" s="69" t="e">
        <f ca="1">M126+M127+M128+M129+M130+M131</f>
        <v>#VALUE!</v>
      </c>
      <c r="N132" s="69" t="e">
        <f ca="1">N126+N127+N128+N129+N130+N131</f>
        <v>#VALUE!</v>
      </c>
    </row>
    <row r="133" spans="1:14" ht="28.8" customHeight="1" x14ac:dyDescent="0.3">
      <c r="A133" s="1"/>
      <c r="B133" s="6" t="s">
        <v>140</v>
      </c>
      <c r="C133" s="38"/>
      <c r="D133" s="36">
        <v>2815</v>
      </c>
      <c r="E133" s="36">
        <v>2910</v>
      </c>
      <c r="F133" s="36">
        <v>3123</v>
      </c>
      <c r="G133" s="64"/>
      <c r="H133" s="64"/>
      <c r="I133" s="36">
        <v>6328.7</v>
      </c>
      <c r="J133" s="69">
        <f>J123+J132</f>
        <v>6197.2696517995992</v>
      </c>
      <c r="K133" s="69" t="e">
        <f ca="1">K123+K132</f>
        <v>#VALUE!</v>
      </c>
      <c r="L133" s="69" t="e">
        <f ca="1">L123+L132</f>
        <v>#VALUE!</v>
      </c>
      <c r="M133" s="69" t="e">
        <f ca="1">M123+M132</f>
        <v>#VALUE!</v>
      </c>
      <c r="N133" s="69" t="e">
        <f ca="1">N123+N132</f>
        <v>#VALUE!</v>
      </c>
    </row>
    <row r="134" spans="1:14" x14ac:dyDescent="0.3">
      <c r="A134" s="1"/>
      <c r="B134" s="2"/>
      <c r="C134" s="38"/>
      <c r="D134" s="43"/>
      <c r="E134" s="43"/>
      <c r="F134" s="43"/>
      <c r="G134" s="80"/>
      <c r="H134" s="43"/>
      <c r="I134" s="43"/>
      <c r="J134" s="76"/>
      <c r="K134" s="43"/>
      <c r="L134" s="43"/>
      <c r="M134" s="43"/>
      <c r="N134" s="43"/>
    </row>
    <row r="135" spans="1:14" ht="43.2" customHeight="1" x14ac:dyDescent="0.3">
      <c r="A135" s="1"/>
      <c r="B135" s="20" t="s">
        <v>141</v>
      </c>
      <c r="C135" s="38"/>
      <c r="D135" s="43"/>
      <c r="E135" s="43"/>
      <c r="F135" s="43"/>
      <c r="G135" s="76"/>
      <c r="H135" s="43"/>
      <c r="I135" s="77"/>
      <c r="J135" s="43"/>
      <c r="K135" s="43"/>
      <c r="L135" s="43"/>
      <c r="M135" s="43"/>
      <c r="N135" s="43"/>
    </row>
    <row r="136" spans="1:14" ht="42.6" customHeight="1" x14ac:dyDescent="0.3">
      <c r="A136" s="1"/>
      <c r="B136" s="2" t="s">
        <v>142</v>
      </c>
      <c r="C136" s="38"/>
      <c r="D136" s="35">
        <v>10</v>
      </c>
      <c r="E136" s="35">
        <v>5</v>
      </c>
      <c r="F136" s="35">
        <v>5</v>
      </c>
      <c r="G136" s="35">
        <v>5</v>
      </c>
      <c r="H136" s="64"/>
      <c r="I136" s="35">
        <v>0</v>
      </c>
      <c r="J136" s="65" t="s">
        <v>136</v>
      </c>
      <c r="K136" s="65" t="s">
        <v>136</v>
      </c>
      <c r="L136" s="65" t="s">
        <v>136</v>
      </c>
      <c r="M136" s="65" t="s">
        <v>136</v>
      </c>
      <c r="N136" s="65" t="s">
        <v>136</v>
      </c>
    </row>
    <row r="137" spans="1:14" ht="43.2" customHeight="1" x14ac:dyDescent="0.3">
      <c r="A137" s="1"/>
      <c r="B137" s="2" t="s">
        <v>143</v>
      </c>
      <c r="C137" s="38"/>
      <c r="D137" s="35">
        <v>640</v>
      </c>
      <c r="E137" s="35">
        <v>657</v>
      </c>
      <c r="F137" s="35">
        <v>675</v>
      </c>
      <c r="G137" s="35">
        <v>675</v>
      </c>
      <c r="H137" s="64"/>
      <c r="I137" s="35">
        <v>0</v>
      </c>
      <c r="J137" s="65" t="s">
        <v>136</v>
      </c>
      <c r="K137" s="65" t="s">
        <v>136</v>
      </c>
      <c r="L137" s="65" t="s">
        <v>136</v>
      </c>
      <c r="M137" s="65" t="s">
        <v>136</v>
      </c>
      <c r="N137" s="65" t="s">
        <v>136</v>
      </c>
    </row>
    <row r="138" spans="1:14" ht="28.8" customHeight="1" x14ac:dyDescent="0.3">
      <c r="A138" s="1"/>
      <c r="B138" s="2" t="s">
        <v>144</v>
      </c>
      <c r="C138" s="38"/>
      <c r="D138" s="35">
        <v>-350</v>
      </c>
      <c r="E138" s="35">
        <v>-380</v>
      </c>
      <c r="F138" s="35">
        <v>-450</v>
      </c>
      <c r="G138" s="35">
        <v>-450</v>
      </c>
      <c r="H138" s="64"/>
      <c r="I138" s="35">
        <v>0</v>
      </c>
      <c r="J138" s="65" t="s">
        <v>136</v>
      </c>
      <c r="K138" s="65" t="s">
        <v>136</v>
      </c>
      <c r="L138" s="65" t="s">
        <v>136</v>
      </c>
      <c r="M138" s="65" t="s">
        <v>136</v>
      </c>
      <c r="N138" s="65" t="s">
        <v>136</v>
      </c>
    </row>
    <row r="139" spans="1:14" ht="43.2" customHeight="1" x14ac:dyDescent="0.3">
      <c r="A139" s="1"/>
      <c r="B139" s="2" t="s">
        <v>145</v>
      </c>
      <c r="C139" s="38"/>
      <c r="D139" s="64" t="s">
        <v>108</v>
      </c>
      <c r="E139" s="64" t="s">
        <v>108</v>
      </c>
      <c r="F139" s="64" t="s">
        <v>108</v>
      </c>
      <c r="G139" s="35">
        <v>0</v>
      </c>
      <c r="H139" s="35">
        <v>2972.12</v>
      </c>
      <c r="I139" s="35">
        <v>2972.12</v>
      </c>
      <c r="J139" s="65">
        <f>I139</f>
        <v>2972.12</v>
      </c>
      <c r="K139" s="65">
        <f>I139</f>
        <v>2972.12</v>
      </c>
      <c r="L139" s="65">
        <f>I139</f>
        <v>2972.12</v>
      </c>
      <c r="M139" s="65">
        <f>I139</f>
        <v>2972.12</v>
      </c>
      <c r="N139" s="65">
        <f>I139</f>
        <v>2972.12</v>
      </c>
    </row>
    <row r="140" spans="1:14" ht="28.8" customHeight="1" x14ac:dyDescent="0.3">
      <c r="A140" s="1"/>
      <c r="B140" s="7" t="s">
        <v>146</v>
      </c>
      <c r="C140" s="75"/>
      <c r="D140" s="35">
        <v>1340</v>
      </c>
      <c r="E140" s="35">
        <v>1414</v>
      </c>
      <c r="F140" s="35">
        <v>1462</v>
      </c>
      <c r="G140" s="35">
        <v>1493</v>
      </c>
      <c r="H140" s="64"/>
      <c r="I140" s="35">
        <v>-30.75</v>
      </c>
      <c r="J140" s="68">
        <f>I140+J97</f>
        <v>-19.907259005766779</v>
      </c>
      <c r="K140" s="68">
        <f>J140+K97</f>
        <v>-41.730517857563086</v>
      </c>
      <c r="L140" s="68" t="e">
        <f ca="1">K140+L97</f>
        <v>#VALUE!</v>
      </c>
      <c r="M140" s="68" t="e">
        <f ca="1">L140+M97</f>
        <v>#VALUE!</v>
      </c>
      <c r="N140" s="68" t="e">
        <f ca="1">M140+N97</f>
        <v>#VALUE!</v>
      </c>
    </row>
    <row r="141" spans="1:14" ht="57.6" customHeight="1" x14ac:dyDescent="0.3">
      <c r="A141" s="1"/>
      <c r="B141" s="6" t="s">
        <v>147</v>
      </c>
      <c r="C141" s="38"/>
      <c r="D141" s="36">
        <v>1640</v>
      </c>
      <c r="E141" s="36">
        <v>1696</v>
      </c>
      <c r="F141" s="36">
        <v>1692</v>
      </c>
      <c r="G141" s="64"/>
      <c r="H141" s="64"/>
      <c r="I141" s="36">
        <v>2941.37</v>
      </c>
      <c r="J141" s="69">
        <f>J136+J137+J138+J139+J140</f>
        <v>2952.2127409942332</v>
      </c>
      <c r="K141" s="69">
        <f>K136+K137+K138+K139+K140</f>
        <v>2930.3894821424369</v>
      </c>
      <c r="L141" s="69" t="e">
        <f ca="1">L136+L137+L138+L139+L140</f>
        <v>#VALUE!</v>
      </c>
      <c r="M141" s="69" t="e">
        <f ca="1">M136+M137+M138+M139+M140</f>
        <v>#VALUE!</v>
      </c>
      <c r="N141" s="69" t="e">
        <f ca="1">N136+N137+N138+N139+N140</f>
        <v>#VALUE!</v>
      </c>
    </row>
    <row r="142" spans="1:14" x14ac:dyDescent="0.3">
      <c r="A142" s="1"/>
      <c r="B142" s="2"/>
      <c r="C142" s="38"/>
      <c r="D142" s="64"/>
      <c r="E142" s="64"/>
      <c r="F142" s="64"/>
      <c r="G142" s="64"/>
      <c r="H142" s="64"/>
      <c r="I142" s="64"/>
      <c r="J142" s="70"/>
      <c r="K142" s="70"/>
      <c r="L142" s="70"/>
      <c r="M142" s="70"/>
      <c r="N142" s="70"/>
    </row>
    <row r="143" spans="1:14" ht="43.2" customHeight="1" x14ac:dyDescent="0.3">
      <c r="A143" s="1"/>
      <c r="B143" s="6" t="s">
        <v>148</v>
      </c>
      <c r="C143" s="38"/>
      <c r="D143" s="36">
        <v>4455</v>
      </c>
      <c r="E143" s="36">
        <v>4606</v>
      </c>
      <c r="F143" s="36">
        <v>4815</v>
      </c>
      <c r="G143" s="66"/>
      <c r="H143" s="66"/>
      <c r="I143" s="36">
        <v>9270.06</v>
      </c>
      <c r="J143" s="69">
        <f>J133+J141</f>
        <v>9149.4823927938323</v>
      </c>
      <c r="K143" s="69" t="e">
        <f ca="1">K133+K141</f>
        <v>#VALUE!</v>
      </c>
      <c r="L143" s="69" t="e">
        <f ca="1">L133+L141</f>
        <v>#VALUE!</v>
      </c>
      <c r="M143" s="69" t="e">
        <f ca="1">M133+M141</f>
        <v>#VALUE!</v>
      </c>
      <c r="N143" s="69" t="e">
        <f ca="1">N133+N141</f>
        <v>#VALUE!</v>
      </c>
    </row>
    <row r="144" spans="1:14" x14ac:dyDescent="0.3">
      <c r="A144" s="1"/>
      <c r="B144" s="2"/>
      <c r="C144" s="38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</row>
    <row r="145" spans="1:14" ht="28.8" customHeight="1" x14ac:dyDescent="0.3">
      <c r="A145" s="1"/>
      <c r="B145" s="12" t="s">
        <v>149</v>
      </c>
      <c r="C145" s="38"/>
      <c r="D145" s="100">
        <v>0</v>
      </c>
      <c r="E145" s="100">
        <v>0</v>
      </c>
      <c r="F145" s="100">
        <v>0</v>
      </c>
      <c r="G145" s="81"/>
      <c r="H145" s="81"/>
      <c r="I145" s="81" t="s">
        <v>108</v>
      </c>
      <c r="J145" s="82">
        <f>J116-J143</f>
        <v>-289.98366941367203</v>
      </c>
      <c r="K145" s="82" t="e">
        <f ca="1">K116-K143</f>
        <v>#VALUE!</v>
      </c>
      <c r="L145" s="82" t="e">
        <f ca="1">L116-L143</f>
        <v>#VALUE!</v>
      </c>
      <c r="M145" s="82" t="e">
        <f ca="1">M116-M143</f>
        <v>#VALUE!</v>
      </c>
      <c r="N145" s="82" t="e">
        <f ca="1">N116-N143</f>
        <v>#VALUE!</v>
      </c>
    </row>
    <row r="146" spans="1:14" x14ac:dyDescent="0.3">
      <c r="A146" s="1"/>
      <c r="B146" s="2"/>
      <c r="C146" s="38"/>
      <c r="D146" s="38"/>
      <c r="E146" s="38"/>
      <c r="F146" s="38"/>
      <c r="G146" s="38"/>
      <c r="H146" s="38"/>
      <c r="I146" s="38"/>
      <c r="J146" s="83"/>
      <c r="K146" s="83"/>
      <c r="L146" s="83"/>
      <c r="M146" s="83"/>
      <c r="N146" s="83"/>
    </row>
    <row r="147" spans="1:14" ht="19.95" customHeight="1" x14ac:dyDescent="0.3">
      <c r="A147" s="1"/>
      <c r="B147" s="19" t="s">
        <v>150</v>
      </c>
      <c r="C147" s="37"/>
      <c r="D147" s="37"/>
      <c r="E147" s="37"/>
      <c r="F147" s="37"/>
      <c r="G147" s="37"/>
      <c r="H147" s="37"/>
      <c r="I147" s="37"/>
      <c r="J147" s="84"/>
      <c r="K147" s="84"/>
      <c r="L147" s="84"/>
      <c r="M147" s="84"/>
      <c r="N147" s="84"/>
    </row>
    <row r="148" spans="1:14" ht="14.4" customHeight="1" x14ac:dyDescent="0.3">
      <c r="A148" s="1"/>
      <c r="B148" s="2"/>
      <c r="C148" s="38"/>
      <c r="D148" s="178" t="s">
        <v>86</v>
      </c>
      <c r="E148" s="179"/>
      <c r="F148" s="179"/>
      <c r="G148" s="178" t="s">
        <v>2</v>
      </c>
      <c r="H148" s="179"/>
      <c r="I148" s="179"/>
      <c r="J148" s="180" t="s">
        <v>88</v>
      </c>
      <c r="K148" s="181"/>
      <c r="L148" s="181"/>
      <c r="M148" s="181"/>
      <c r="N148" s="181"/>
    </row>
    <row r="149" spans="1:14" x14ac:dyDescent="0.3">
      <c r="A149" s="1"/>
      <c r="B149" s="2"/>
      <c r="C149" s="38"/>
      <c r="D149" s="56">
        <v>2012</v>
      </c>
      <c r="E149" s="56">
        <v>2013</v>
      </c>
      <c r="F149" s="56">
        <v>2014</v>
      </c>
      <c r="G149" s="56" t="s">
        <v>89</v>
      </c>
      <c r="H149" s="56" t="s">
        <v>90</v>
      </c>
      <c r="I149" s="56">
        <v>2014</v>
      </c>
      <c r="J149" s="56">
        <v>2015</v>
      </c>
      <c r="K149" s="56">
        <v>2016</v>
      </c>
      <c r="L149" s="56">
        <v>2017</v>
      </c>
      <c r="M149" s="56">
        <v>2018</v>
      </c>
      <c r="N149" s="56">
        <v>2019</v>
      </c>
    </row>
    <row r="150" spans="1:14" ht="28.8" customHeight="1" x14ac:dyDescent="0.3">
      <c r="A150" s="1"/>
      <c r="B150" s="13" t="s">
        <v>115</v>
      </c>
      <c r="C150" s="38"/>
      <c r="D150" s="62"/>
      <c r="E150" s="62"/>
      <c r="F150" s="62"/>
      <c r="G150" s="62"/>
      <c r="H150" s="62"/>
      <c r="I150" s="62"/>
      <c r="J150" s="85">
        <f>J97</f>
        <v>10.842740994233221</v>
      </c>
      <c r="K150" s="85">
        <f>K97</f>
        <v>-21.823258851796311</v>
      </c>
      <c r="L150" s="85" t="e">
        <f ca="1">L97</f>
        <v>#VALUE!</v>
      </c>
      <c r="M150" s="85" t="e">
        <f ca="1">M97</f>
        <v>#VALUE!</v>
      </c>
      <c r="N150" s="85" t="e">
        <f ca="1">N97</f>
        <v>#VALUE!</v>
      </c>
    </row>
    <row r="151" spans="1:14" ht="57.6" customHeight="1" x14ac:dyDescent="0.3">
      <c r="A151" s="1"/>
      <c r="B151" s="8" t="s">
        <v>151</v>
      </c>
      <c r="C151" s="38"/>
      <c r="D151" s="64"/>
      <c r="E151" s="64"/>
      <c r="F151" s="64"/>
      <c r="G151" s="64"/>
      <c r="H151" s="64"/>
      <c r="I151" s="64"/>
      <c r="J151" s="65">
        <f t="shared" ref="J151:N154" si="4">J87</f>
        <v>170.55195749999996</v>
      </c>
      <c r="K151" s="65">
        <f t="shared" si="4"/>
        <v>175.32741230999997</v>
      </c>
      <c r="L151" s="65">
        <f t="shared" si="4"/>
        <v>180.93788950391999</v>
      </c>
      <c r="M151" s="65">
        <f t="shared" si="4"/>
        <v>185.46133674151795</v>
      </c>
      <c r="N151" s="65">
        <f t="shared" si="4"/>
        <v>189.54148614983137</v>
      </c>
    </row>
    <row r="152" spans="1:14" ht="49.8" customHeight="1" x14ac:dyDescent="0.3">
      <c r="A152" s="1"/>
      <c r="B152" s="8" t="s">
        <v>152</v>
      </c>
      <c r="C152" s="38"/>
      <c r="D152" s="64"/>
      <c r="E152" s="64"/>
      <c r="F152" s="64"/>
      <c r="G152" s="64"/>
      <c r="H152" s="64"/>
      <c r="I152" s="64"/>
      <c r="J152" s="65">
        <f t="shared" si="4"/>
        <v>24.75</v>
      </c>
      <c r="K152" s="65">
        <f t="shared" si="4"/>
        <v>24.75</v>
      </c>
      <c r="L152" s="65">
        <f t="shared" si="4"/>
        <v>24.75</v>
      </c>
      <c r="M152" s="65">
        <f t="shared" si="4"/>
        <v>24.75</v>
      </c>
      <c r="N152" s="65">
        <f t="shared" si="4"/>
        <v>24.75</v>
      </c>
    </row>
    <row r="153" spans="1:14" ht="46.2" customHeight="1" x14ac:dyDescent="0.3">
      <c r="A153" s="1"/>
      <c r="B153" s="8" t="s">
        <v>153</v>
      </c>
      <c r="C153" s="38"/>
      <c r="D153" s="64"/>
      <c r="E153" s="64"/>
      <c r="F153" s="64"/>
      <c r="G153" s="64"/>
      <c r="H153" s="64"/>
      <c r="I153" s="64"/>
      <c r="J153" s="65">
        <f t="shared" si="4"/>
        <v>235.40799357499995</v>
      </c>
      <c r="K153" s="65">
        <f t="shared" si="4"/>
        <v>235.40799357499995</v>
      </c>
      <c r="L153" s="65">
        <f t="shared" si="4"/>
        <v>235.40799357499995</v>
      </c>
      <c r="M153" s="65">
        <f t="shared" si="4"/>
        <v>235.40799357499995</v>
      </c>
      <c r="N153" s="65">
        <f t="shared" si="4"/>
        <v>235.40799357499995</v>
      </c>
    </row>
    <row r="154" spans="1:14" x14ac:dyDescent="0.3">
      <c r="A154" s="1"/>
      <c r="B154" s="8" t="s">
        <v>154</v>
      </c>
      <c r="C154" s="38"/>
      <c r="D154" s="64"/>
      <c r="E154" s="64"/>
      <c r="F154" s="64"/>
      <c r="G154" s="64"/>
      <c r="H154" s="64"/>
      <c r="I154" s="64"/>
      <c r="J154" s="65">
        <f t="shared" si="4"/>
        <v>11.340345322439997</v>
      </c>
      <c r="K154" s="65">
        <f t="shared" si="4"/>
        <v>11.340345322439997</v>
      </c>
      <c r="L154" s="65">
        <f t="shared" si="4"/>
        <v>11.340345322439997</v>
      </c>
      <c r="M154" s="65">
        <f t="shared" si="4"/>
        <v>11.340345322439997</v>
      </c>
      <c r="N154" s="65">
        <f t="shared" si="4"/>
        <v>11.340345322439997</v>
      </c>
    </row>
    <row r="155" spans="1:14" ht="49.8" customHeight="1" x14ac:dyDescent="0.3">
      <c r="A155" s="1"/>
      <c r="B155" s="20" t="s">
        <v>155</v>
      </c>
      <c r="C155" s="38"/>
      <c r="D155" s="64"/>
      <c r="E155" s="64"/>
      <c r="F155" s="64"/>
      <c r="G155" s="64"/>
      <c r="H155" s="64"/>
      <c r="I155" s="64"/>
      <c r="J155" s="65"/>
      <c r="K155" s="65"/>
      <c r="L155" s="65"/>
      <c r="M155" s="65"/>
      <c r="N155" s="65"/>
    </row>
    <row r="156" spans="1:14" x14ac:dyDescent="0.3">
      <c r="A156" s="1"/>
      <c r="B156" s="8" t="s">
        <v>120</v>
      </c>
      <c r="C156" s="38"/>
      <c r="D156" s="64"/>
      <c r="E156" s="64"/>
      <c r="F156" s="64"/>
      <c r="G156" s="64"/>
      <c r="H156" s="64"/>
      <c r="I156" s="64"/>
      <c r="J156" s="65">
        <f t="shared" ref="J156:N157" si="5">-(J105-I105)</f>
        <v>3.9947561500001711</v>
      </c>
      <c r="K156" s="65">
        <f t="shared" si="5"/>
        <v>-22.428146827799992</v>
      </c>
      <c r="L156" s="65">
        <f t="shared" si="5"/>
        <v>-26.349868501689684</v>
      </c>
      <c r="M156" s="65">
        <f t="shared" si="5"/>
        <v>-21.244581479487124</v>
      </c>
      <c r="N156" s="65">
        <f t="shared" si="5"/>
        <v>-19.16261249449758</v>
      </c>
    </row>
    <row r="157" spans="1:14" x14ac:dyDescent="0.3">
      <c r="A157" s="1"/>
      <c r="B157" s="8" t="s">
        <v>121</v>
      </c>
      <c r="C157" s="38"/>
      <c r="D157" s="64"/>
      <c r="E157" s="64"/>
      <c r="F157" s="64"/>
      <c r="G157" s="64"/>
      <c r="H157" s="64"/>
      <c r="I157" s="64"/>
      <c r="J157" s="65">
        <f t="shared" si="5"/>
        <v>-0.58670592760000773</v>
      </c>
      <c r="K157" s="65">
        <f t="shared" si="5"/>
        <v>-4.7764277659728123</v>
      </c>
      <c r="L157" s="65">
        <f t="shared" si="5"/>
        <v>-5.611620278194323</v>
      </c>
      <c r="M157" s="65">
        <f t="shared" si="5"/>
        <v>-4.5243688492941772</v>
      </c>
      <c r="N157" s="65">
        <f t="shared" si="5"/>
        <v>-4.0809807020633571</v>
      </c>
    </row>
    <row r="158" spans="1:14" x14ac:dyDescent="0.3">
      <c r="A158" s="1"/>
      <c r="B158" s="8" t="s">
        <v>156</v>
      </c>
      <c r="C158" s="38"/>
      <c r="D158" s="64"/>
      <c r="E158" s="64"/>
      <c r="F158" s="64"/>
      <c r="G158" s="64"/>
      <c r="H158" s="64"/>
      <c r="I158" s="64"/>
      <c r="J158" s="65">
        <f t="shared" ref="J158:N159" si="6">J121-I121</f>
        <v>4.9071689999999535</v>
      </c>
      <c r="K158" s="65">
        <f t="shared" si="6"/>
        <v>20.297400732000028</v>
      </c>
      <c r="L158" s="65">
        <f t="shared" si="6"/>
        <v>23.846546231424099</v>
      </c>
      <c r="M158" s="65">
        <f t="shared" si="6"/>
        <v>19.226277899085403</v>
      </c>
      <c r="N158" s="65">
        <f t="shared" si="6"/>
        <v>17.3421026649753</v>
      </c>
    </row>
    <row r="159" spans="1:14" x14ac:dyDescent="0.3">
      <c r="A159" s="1"/>
      <c r="B159" s="14" t="s">
        <v>132</v>
      </c>
      <c r="C159" s="75"/>
      <c r="D159" s="64"/>
      <c r="E159" s="64"/>
      <c r="F159" s="64"/>
      <c r="G159" s="64"/>
      <c r="H159" s="64"/>
      <c r="I159" s="64"/>
      <c r="J159" s="65">
        <f t="shared" si="6"/>
        <v>-11.388617200400063</v>
      </c>
      <c r="K159" s="65">
        <f t="shared" si="6"/>
        <v>13.681118718388859</v>
      </c>
      <c r="L159" s="65">
        <f t="shared" si="6"/>
        <v>16.07336004857558</v>
      </c>
      <c r="M159" s="65">
        <f t="shared" si="6"/>
        <v>12.959146539164067</v>
      </c>
      <c r="N159" s="65">
        <f t="shared" si="6"/>
        <v>11.689150178326145</v>
      </c>
    </row>
    <row r="160" spans="1:14" ht="50.4" customHeight="1" x14ac:dyDescent="0.3">
      <c r="A160" s="1"/>
      <c r="B160" s="13" t="s">
        <v>157</v>
      </c>
      <c r="C160" s="38"/>
      <c r="D160" s="64"/>
      <c r="E160" s="64"/>
      <c r="F160" s="64"/>
      <c r="G160" s="64"/>
      <c r="H160" s="64"/>
      <c r="I160" s="64"/>
      <c r="J160" s="70">
        <f>J150+J151+J152+J153+J154+J156+J157+J158+J159</f>
        <v>449.81963941367314</v>
      </c>
      <c r="K160" s="70">
        <f>K150+K151+K152+K153+K154+K156+K157+K158+K159</f>
        <v>431.77643721225968</v>
      </c>
      <c r="L160" s="70" t="e">
        <f ca="1">L150+L151+L152+L153+L154+L156+L157+L158+L159</f>
        <v>#VALUE!</v>
      </c>
      <c r="M160" s="70" t="e">
        <f ca="1">M150+M151+M152+M153+M154+M156+M157+M158+M159</f>
        <v>#VALUE!</v>
      </c>
      <c r="N160" s="70" t="e">
        <f ca="1">N150+N151+N152+N153+N154+N156+N157+N158+N159</f>
        <v>#VALUE!</v>
      </c>
    </row>
    <row r="161" spans="1:14" x14ac:dyDescent="0.3">
      <c r="A161" s="1"/>
      <c r="B161" s="2"/>
      <c r="C161" s="38"/>
      <c r="D161" s="64"/>
      <c r="E161" s="64"/>
      <c r="F161" s="64"/>
      <c r="G161" s="64"/>
      <c r="H161" s="64"/>
      <c r="I161" s="64"/>
      <c r="J161" s="65"/>
      <c r="K161" s="65"/>
      <c r="L161" s="65"/>
      <c r="M161" s="65"/>
      <c r="N161" s="65"/>
    </row>
    <row r="162" spans="1:14" x14ac:dyDescent="0.3">
      <c r="A162" s="1"/>
      <c r="B162" s="14" t="s">
        <v>158</v>
      </c>
      <c r="C162" s="75"/>
      <c r="D162" s="64"/>
      <c r="E162" s="64"/>
      <c r="F162" s="64"/>
      <c r="G162" s="64"/>
      <c r="H162" s="64"/>
      <c r="I162" s="64"/>
      <c r="J162" s="65">
        <f>-J82*J77</f>
        <v>-152.14706999999999</v>
      </c>
      <c r="K162" s="65">
        <f>-K82*K77</f>
        <v>-156.40718795999999</v>
      </c>
      <c r="L162" s="65">
        <f>-L82*L77</f>
        <v>-161.41221797471999</v>
      </c>
      <c r="M162" s="65">
        <f>-M82*M77</f>
        <v>-165.44752342408796</v>
      </c>
      <c r="N162" s="65">
        <f>-N82*N77</f>
        <v>-169.08736893941793</v>
      </c>
    </row>
    <row r="163" spans="1:14" x14ac:dyDescent="0.3">
      <c r="A163" s="1"/>
      <c r="B163" s="13" t="s">
        <v>159</v>
      </c>
      <c r="C163" s="38"/>
      <c r="D163" s="64"/>
      <c r="E163" s="64"/>
      <c r="F163" s="64"/>
      <c r="G163" s="64"/>
      <c r="H163" s="64"/>
      <c r="I163" s="64"/>
      <c r="J163" s="65">
        <f>J162</f>
        <v>-152.14706999999999</v>
      </c>
      <c r="K163" s="65">
        <f>K162</f>
        <v>-156.40718795999999</v>
      </c>
      <c r="L163" s="65">
        <f>L162</f>
        <v>-161.41221797471999</v>
      </c>
      <c r="M163" s="65">
        <f>M162</f>
        <v>-165.44752342408796</v>
      </c>
      <c r="N163" s="65">
        <f>N162</f>
        <v>-169.08736893941793</v>
      </c>
    </row>
    <row r="164" spans="1:14" x14ac:dyDescent="0.3">
      <c r="A164" s="1"/>
      <c r="B164" s="2"/>
      <c r="C164" s="38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</row>
    <row r="165" spans="1:14" x14ac:dyDescent="0.3">
      <c r="A165" s="1"/>
      <c r="B165" s="13" t="s">
        <v>160</v>
      </c>
      <c r="C165" s="38"/>
      <c r="D165" s="64"/>
      <c r="E165" s="64"/>
      <c r="F165" s="64"/>
      <c r="G165" s="64"/>
      <c r="H165" s="64"/>
      <c r="I165" s="64"/>
      <c r="J165" s="68">
        <f>J160+J163</f>
        <v>297.67256941367316</v>
      </c>
      <c r="K165" s="68">
        <f>K160+K163</f>
        <v>275.36924925225969</v>
      </c>
      <c r="L165" s="68" t="e">
        <f ca="1">L160+L163</f>
        <v>#VALUE!</v>
      </c>
      <c r="M165" s="68" t="e">
        <f ca="1">M160+M163</f>
        <v>#VALUE!</v>
      </c>
      <c r="N165" s="68" t="e">
        <f ca="1">N160+N163</f>
        <v>#VALUE!</v>
      </c>
    </row>
    <row r="166" spans="1:14" x14ac:dyDescent="0.3">
      <c r="A166" s="1"/>
      <c r="B166" s="2"/>
      <c r="C166" s="38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</row>
    <row r="167" spans="1:14" x14ac:dyDescent="0.3">
      <c r="A167" s="1"/>
      <c r="B167" s="8" t="s">
        <v>161</v>
      </c>
      <c r="C167" s="38"/>
      <c r="D167" s="64"/>
      <c r="E167" s="64"/>
      <c r="F167" s="64"/>
      <c r="G167" s="64"/>
      <c r="H167" s="64"/>
      <c r="I167" s="64"/>
      <c r="J167" s="65">
        <f>-I120</f>
        <v>-100</v>
      </c>
      <c r="K167" s="65" t="s">
        <v>136</v>
      </c>
      <c r="L167" s="65" t="s">
        <v>136</v>
      </c>
      <c r="M167" s="65" t="s">
        <v>136</v>
      </c>
      <c r="N167" s="65" t="s">
        <v>136</v>
      </c>
    </row>
    <row r="168" spans="1:14" x14ac:dyDescent="0.3">
      <c r="A168" s="1"/>
      <c r="B168" s="8" t="s">
        <v>162</v>
      </c>
      <c r="C168" s="38"/>
      <c r="D168" s="64"/>
      <c r="E168" s="64"/>
      <c r="F168" s="64"/>
      <c r="G168" s="64"/>
      <c r="H168" s="64"/>
      <c r="I168" s="64"/>
      <c r="J168" s="68">
        <f t="shared" ref="J168:N169" si="7">-(I127-J127)</f>
        <v>0</v>
      </c>
      <c r="K168" s="68" t="e">
        <f t="shared" ca="1" si="7"/>
        <v>#VALUE!</v>
      </c>
      <c r="L168" s="68" t="e">
        <f t="shared" ca="1" si="7"/>
        <v>#VALUE!</v>
      </c>
      <c r="M168" s="68" t="e">
        <f t="shared" ca="1" si="7"/>
        <v>#VALUE!</v>
      </c>
      <c r="N168" s="68" t="e">
        <f t="shared" ca="1" si="7"/>
        <v>#VALUE!</v>
      </c>
    </row>
    <row r="169" spans="1:14" x14ac:dyDescent="0.3">
      <c r="A169" s="1"/>
      <c r="B169" s="8" t="s">
        <v>163</v>
      </c>
      <c r="C169" s="38"/>
      <c r="D169" s="64"/>
      <c r="E169" s="64"/>
      <c r="F169" s="64"/>
      <c r="G169" s="64"/>
      <c r="H169" s="64"/>
      <c r="I169" s="64"/>
      <c r="J169" s="65">
        <f t="shared" si="7"/>
        <v>-24.948899999999867</v>
      </c>
      <c r="K169" s="65">
        <f t="shared" si="7"/>
        <v>-24.699411000000055</v>
      </c>
      <c r="L169" s="68" t="e">
        <f t="shared" ca="1" si="7"/>
        <v>#VALUE!</v>
      </c>
      <c r="M169" s="68" t="e">
        <f t="shared" ca="1" si="7"/>
        <v>#VALUE!</v>
      </c>
      <c r="N169" s="68" t="e">
        <f t="shared" ca="1" si="7"/>
        <v>#VALUE!</v>
      </c>
    </row>
    <row r="170" spans="1:14" x14ac:dyDescent="0.3">
      <c r="A170" s="1"/>
      <c r="B170" s="14" t="s">
        <v>164</v>
      </c>
      <c r="C170" s="75"/>
      <c r="D170" s="64"/>
      <c r="E170" s="64"/>
      <c r="F170" s="64"/>
      <c r="G170" s="64"/>
      <c r="H170" s="64"/>
      <c r="I170" s="64"/>
      <c r="J170" s="65" t="s">
        <v>136</v>
      </c>
      <c r="K170" s="65" t="s">
        <v>136</v>
      </c>
      <c r="L170" s="65" t="s">
        <v>136</v>
      </c>
      <c r="M170" s="65" t="s">
        <v>136</v>
      </c>
      <c r="N170" s="65" t="s">
        <v>136</v>
      </c>
    </row>
    <row r="171" spans="1:14" x14ac:dyDescent="0.3">
      <c r="A171" s="1"/>
      <c r="B171" s="13" t="s">
        <v>165</v>
      </c>
      <c r="C171" s="38"/>
      <c r="D171" s="64"/>
      <c r="E171" s="64"/>
      <c r="F171" s="64"/>
      <c r="G171" s="64"/>
      <c r="H171" s="64"/>
      <c r="I171" s="64"/>
      <c r="J171" s="68">
        <f>J167+J168+J169+J170</f>
        <v>-124.94889999999987</v>
      </c>
      <c r="K171" s="68" t="e">
        <f ca="1">K167+K168+K169+K170</f>
        <v>#VALUE!</v>
      </c>
      <c r="L171" s="68" t="e">
        <f ca="1">L167+L168+L169+L170</f>
        <v>#VALUE!</v>
      </c>
      <c r="M171" s="68" t="e">
        <f ca="1">M167+M168+M169+M170</f>
        <v>#VALUE!</v>
      </c>
      <c r="N171" s="68" t="e">
        <f ca="1">N167+N168+N169+N170</f>
        <v>#VALUE!</v>
      </c>
    </row>
    <row r="172" spans="1:14" x14ac:dyDescent="0.3">
      <c r="A172" s="1"/>
      <c r="B172" s="2"/>
      <c r="C172" s="38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</row>
    <row r="173" spans="1:14" x14ac:dyDescent="0.3">
      <c r="A173" s="1"/>
      <c r="B173" s="13" t="s">
        <v>166</v>
      </c>
      <c r="C173" s="38"/>
      <c r="D173" s="64"/>
      <c r="E173" s="64"/>
      <c r="F173" s="64"/>
      <c r="G173" s="64"/>
      <c r="H173" s="64"/>
      <c r="I173" s="64"/>
      <c r="J173" s="68">
        <f>J160+J163</f>
        <v>297.67256941367316</v>
      </c>
      <c r="K173" s="68">
        <f>K160+K163</f>
        <v>275.36924925225969</v>
      </c>
      <c r="L173" s="68" t="e">
        <f ca="1">L160+L163</f>
        <v>#VALUE!</v>
      </c>
      <c r="M173" s="68" t="e">
        <f ca="1">M160+M163</f>
        <v>#VALUE!</v>
      </c>
      <c r="N173" s="68" t="e">
        <f ca="1">N160+N163</f>
        <v>#VALUE!</v>
      </c>
    </row>
    <row r="174" spans="1:14" x14ac:dyDescent="0.3">
      <c r="A174" s="1"/>
      <c r="B174" s="2"/>
      <c r="C174" s="38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</row>
    <row r="175" spans="1:14" x14ac:dyDescent="0.3">
      <c r="A175" s="1"/>
      <c r="B175" s="8" t="s">
        <v>167</v>
      </c>
      <c r="C175" s="38"/>
      <c r="D175" s="64"/>
      <c r="E175" s="64"/>
      <c r="F175" s="64"/>
      <c r="G175" s="64"/>
      <c r="H175" s="64"/>
      <c r="I175" s="64"/>
      <c r="J175" s="65">
        <f>I104</f>
        <v>192</v>
      </c>
      <c r="K175" s="65">
        <f>J176</f>
        <v>50</v>
      </c>
      <c r="L175" s="65">
        <f>K176</f>
        <v>50</v>
      </c>
      <c r="M175" s="65">
        <f>L176</f>
        <v>50</v>
      </c>
      <c r="N175" s="65">
        <f>M176</f>
        <v>50</v>
      </c>
    </row>
    <row r="176" spans="1:14" ht="15.6" customHeight="1" x14ac:dyDescent="0.3">
      <c r="A176" s="1"/>
      <c r="B176" s="13" t="s">
        <v>168</v>
      </c>
      <c r="C176" s="38"/>
      <c r="D176" s="64"/>
      <c r="E176" s="64"/>
      <c r="F176" s="64"/>
      <c r="G176" s="64"/>
      <c r="H176" s="64"/>
      <c r="I176" s="64"/>
      <c r="J176" s="65">
        <f>$I$15</f>
        <v>50</v>
      </c>
      <c r="K176" s="65">
        <f>$I$15</f>
        <v>50</v>
      </c>
      <c r="L176" s="65">
        <f>$I$15</f>
        <v>50</v>
      </c>
      <c r="M176" s="65">
        <f>$I$15</f>
        <v>50</v>
      </c>
      <c r="N176" s="65">
        <f>$I$15</f>
        <v>50</v>
      </c>
    </row>
    <row r="177" spans="1:14" x14ac:dyDescent="0.3">
      <c r="A177" s="1"/>
      <c r="B177" s="2"/>
      <c r="C177" s="38"/>
      <c r="D177" s="59"/>
      <c r="E177" s="59"/>
      <c r="F177" s="59"/>
      <c r="G177" s="59"/>
      <c r="H177" s="59"/>
      <c r="I177" s="59"/>
      <c r="J177" s="71"/>
      <c r="K177" s="71"/>
      <c r="L177" s="71"/>
      <c r="M177" s="71"/>
      <c r="N177" s="71"/>
    </row>
    <row r="178" spans="1:14" ht="19.95" customHeight="1" x14ac:dyDescent="0.3">
      <c r="A178" s="1"/>
      <c r="B178" s="19" t="s">
        <v>169</v>
      </c>
      <c r="C178" s="37"/>
      <c r="D178" s="60"/>
      <c r="E178" s="60"/>
      <c r="F178" s="60"/>
      <c r="G178" s="60"/>
      <c r="H178" s="60"/>
      <c r="I178" s="60"/>
      <c r="J178" s="72"/>
      <c r="K178" s="72"/>
      <c r="L178" s="72"/>
      <c r="M178" s="72"/>
      <c r="N178" s="72"/>
    </row>
    <row r="179" spans="1:14" ht="14.4" customHeight="1" x14ac:dyDescent="0.3">
      <c r="A179" s="1"/>
      <c r="B179" s="2"/>
      <c r="C179" s="38"/>
      <c r="D179" s="178" t="s">
        <v>86</v>
      </c>
      <c r="E179" s="179"/>
      <c r="F179" s="179"/>
      <c r="G179" s="55"/>
      <c r="H179" s="55"/>
      <c r="I179" s="55"/>
      <c r="J179" s="180" t="s">
        <v>88</v>
      </c>
      <c r="K179" s="181"/>
      <c r="L179" s="181"/>
      <c r="M179" s="181"/>
      <c r="N179" s="181"/>
    </row>
    <row r="180" spans="1:14" x14ac:dyDescent="0.3">
      <c r="A180" s="1"/>
      <c r="B180" s="2"/>
      <c r="C180" s="38"/>
      <c r="D180" s="56">
        <v>2012</v>
      </c>
      <c r="E180" s="56">
        <v>2013</v>
      </c>
      <c r="F180" s="56">
        <v>2014</v>
      </c>
      <c r="G180" s="56"/>
      <c r="H180" s="56"/>
      <c r="I180" s="56"/>
      <c r="J180" s="56">
        <v>2015</v>
      </c>
      <c r="K180" s="56">
        <v>2016</v>
      </c>
      <c r="L180" s="56">
        <v>2017</v>
      </c>
      <c r="M180" s="56">
        <v>2018</v>
      </c>
      <c r="N180" s="56">
        <v>2019</v>
      </c>
    </row>
    <row r="181" spans="1:14" x14ac:dyDescent="0.3">
      <c r="A181" s="1"/>
      <c r="B181" s="20" t="s">
        <v>170</v>
      </c>
      <c r="C181" s="38"/>
      <c r="D181" s="86"/>
      <c r="E181" s="86"/>
      <c r="F181" s="86"/>
      <c r="G181" s="86"/>
      <c r="H181" s="86"/>
      <c r="I181" s="86"/>
      <c r="J181" s="21">
        <v>3.0000000000000001E-3</v>
      </c>
      <c r="K181" s="21">
        <v>3.5000000000000001E-3</v>
      </c>
      <c r="L181" s="21">
        <v>7.4999999999999997E-3</v>
      </c>
      <c r="M181" s="21">
        <v>1.55E-2</v>
      </c>
      <c r="N181" s="21">
        <v>0.02</v>
      </c>
    </row>
    <row r="182" spans="1:14" x14ac:dyDescent="0.3">
      <c r="A182" s="1"/>
      <c r="B182" s="2"/>
      <c r="C182" s="38"/>
      <c r="D182" s="59"/>
      <c r="E182" s="59"/>
      <c r="F182" s="87" t="s">
        <v>171</v>
      </c>
      <c r="G182" s="59"/>
      <c r="H182" s="59"/>
      <c r="I182" s="59"/>
      <c r="J182" s="71"/>
      <c r="K182" s="71"/>
      <c r="L182" s="71"/>
      <c r="M182" s="71"/>
      <c r="N182" s="71"/>
    </row>
    <row r="183" spans="1:14" x14ac:dyDescent="0.3">
      <c r="A183" s="1"/>
      <c r="B183" s="20" t="s">
        <v>172</v>
      </c>
      <c r="C183" s="38"/>
      <c r="D183" s="59"/>
      <c r="E183" s="87"/>
      <c r="F183" s="87" t="s">
        <v>173</v>
      </c>
      <c r="G183" s="59"/>
      <c r="H183" s="59"/>
      <c r="I183" s="59"/>
      <c r="J183" s="71"/>
      <c r="K183" s="71"/>
      <c r="L183" s="71"/>
      <c r="M183" s="71"/>
      <c r="N183" s="71"/>
    </row>
    <row r="184" spans="1:14" x14ac:dyDescent="0.3">
      <c r="A184" s="1"/>
      <c r="B184" s="2" t="s">
        <v>46</v>
      </c>
      <c r="C184" s="38"/>
      <c r="D184" s="88"/>
      <c r="E184" s="9">
        <v>2.2499999999999999E-2</v>
      </c>
      <c r="F184" s="88"/>
      <c r="G184" s="88"/>
      <c r="H184" s="88"/>
      <c r="I184" s="88"/>
      <c r="J184" s="101">
        <v>2.5499999999999998E-2</v>
      </c>
      <c r="K184" s="101">
        <v>2.5999999999999999E-2</v>
      </c>
      <c r="L184" s="101">
        <v>0.03</v>
      </c>
      <c r="M184" s="101">
        <v>3.7999999999999999E-2</v>
      </c>
      <c r="N184" s="101">
        <v>4.2500000000000003E-2</v>
      </c>
    </row>
    <row r="185" spans="1:14" x14ac:dyDescent="0.3">
      <c r="A185" s="1"/>
      <c r="B185" s="2" t="s">
        <v>49</v>
      </c>
      <c r="C185" s="38"/>
      <c r="D185" s="88"/>
      <c r="E185" s="88"/>
      <c r="F185" s="9">
        <v>6.25E-2</v>
      </c>
      <c r="G185" s="88"/>
      <c r="H185" s="88"/>
      <c r="I185" s="88"/>
      <c r="J185" s="101">
        <v>6.25E-2</v>
      </c>
      <c r="K185" s="101">
        <v>6.25E-2</v>
      </c>
      <c r="L185" s="101">
        <v>6.25E-2</v>
      </c>
      <c r="M185" s="101">
        <v>6.25E-2</v>
      </c>
      <c r="N185" s="101">
        <v>6.25E-2</v>
      </c>
    </row>
    <row r="186" spans="1:14" x14ac:dyDescent="0.3">
      <c r="A186" s="1"/>
      <c r="B186" s="2" t="s">
        <v>50</v>
      </c>
      <c r="C186" s="38"/>
      <c r="D186" s="88"/>
      <c r="E186" s="9">
        <v>3.7499999999999999E-2</v>
      </c>
      <c r="F186" s="88"/>
      <c r="G186" s="88"/>
      <c r="H186" s="88"/>
      <c r="I186" s="88"/>
      <c r="J186" s="101">
        <v>4.0500000000000001E-2</v>
      </c>
      <c r="K186" s="101">
        <v>4.1000000000000002E-2</v>
      </c>
      <c r="L186" s="101">
        <v>4.4999999999999998E-2</v>
      </c>
      <c r="M186" s="101">
        <v>5.2999999999999999E-2</v>
      </c>
      <c r="N186" s="101">
        <v>5.7500000000000002E-2</v>
      </c>
    </row>
    <row r="187" spans="1:14" x14ac:dyDescent="0.3">
      <c r="A187" s="1"/>
      <c r="B187" s="2" t="s">
        <v>52</v>
      </c>
      <c r="C187" s="38"/>
      <c r="D187" s="88"/>
      <c r="E187" s="88"/>
      <c r="F187" s="9">
        <v>0.12</v>
      </c>
      <c r="G187" s="88"/>
      <c r="H187" s="88"/>
      <c r="I187" s="88"/>
      <c r="J187" s="101">
        <v>0.12</v>
      </c>
      <c r="K187" s="101">
        <v>0.12</v>
      </c>
      <c r="L187" s="101">
        <v>0.12</v>
      </c>
      <c r="M187" s="101">
        <v>0.12</v>
      </c>
      <c r="N187" s="101">
        <v>0.12</v>
      </c>
    </row>
    <row r="188" spans="1:14" x14ac:dyDescent="0.3">
      <c r="A188" s="1"/>
      <c r="B188" s="2"/>
      <c r="C188" s="38"/>
      <c r="D188" s="59"/>
      <c r="E188" s="59"/>
      <c r="F188" s="59"/>
      <c r="G188" s="59"/>
      <c r="H188" s="59"/>
      <c r="I188" s="59"/>
      <c r="J188" s="71"/>
      <c r="K188" s="71"/>
      <c r="L188" s="71"/>
      <c r="M188" s="71"/>
      <c r="N188" s="71"/>
    </row>
    <row r="189" spans="1:14" x14ac:dyDescent="0.3">
      <c r="A189" s="1"/>
      <c r="B189" s="20" t="s">
        <v>174</v>
      </c>
      <c r="C189" s="38"/>
      <c r="D189" s="59"/>
      <c r="E189" s="59"/>
      <c r="F189" s="59"/>
      <c r="G189" s="59"/>
      <c r="H189" s="59"/>
      <c r="I189" s="59"/>
      <c r="J189" s="71"/>
      <c r="K189" s="71"/>
      <c r="L189" s="71"/>
      <c r="M189" s="71"/>
      <c r="N189" s="71"/>
    </row>
    <row r="190" spans="1:14" x14ac:dyDescent="0.3">
      <c r="A190" s="1"/>
      <c r="B190" s="2" t="s">
        <v>46</v>
      </c>
      <c r="C190" s="38"/>
      <c r="D190" s="64"/>
      <c r="E190" s="64"/>
      <c r="F190" s="64"/>
      <c r="G190" s="64"/>
      <c r="H190" s="64"/>
      <c r="I190" s="64"/>
      <c r="J190" s="65">
        <f>-AVERAGE(I120,J120)*J184</f>
        <v>-1.2749999999999999</v>
      </c>
      <c r="K190" s="65">
        <f>-AVERAGE(J120,K120)*K184</f>
        <v>0</v>
      </c>
      <c r="L190" s="65">
        <f>-AVERAGE(K120,L120)*L184</f>
        <v>0</v>
      </c>
      <c r="M190" s="65">
        <f>-AVERAGE(L120,M120)*M184</f>
        <v>0</v>
      </c>
      <c r="N190" s="65">
        <f>-AVERAGE(M120,N120)*N184</f>
        <v>0</v>
      </c>
    </row>
    <row r="191" spans="1:14" x14ac:dyDescent="0.3">
      <c r="A191" s="1"/>
      <c r="B191" s="2" t="s">
        <v>49</v>
      </c>
      <c r="C191" s="38"/>
      <c r="D191" s="64"/>
      <c r="E191" s="64"/>
      <c r="F191" s="64"/>
      <c r="G191" s="64"/>
      <c r="H191" s="64"/>
      <c r="I191" s="64"/>
      <c r="J191" s="68">
        <f>-J185*AVERAGE(I127:J127)</f>
        <v>-49.614375000000003</v>
      </c>
      <c r="K191" s="68">
        <f>-J127*J185</f>
        <v>-49.614375000000003</v>
      </c>
      <c r="L191" s="68" t="e">
        <f ca="1">-K127*K185</f>
        <v>#VALUE!</v>
      </c>
      <c r="M191" s="68" t="e">
        <f ca="1">-L127*L185</f>
        <v>#VALUE!</v>
      </c>
      <c r="N191" s="68" t="e">
        <f ca="1">-M127*M185</f>
        <v>#VALUE!</v>
      </c>
    </row>
    <row r="192" spans="1:14" x14ac:dyDescent="0.3">
      <c r="A192" s="1"/>
      <c r="B192" s="2" t="s">
        <v>50</v>
      </c>
      <c r="C192" s="38"/>
      <c r="D192" s="64"/>
      <c r="E192" s="64"/>
      <c r="F192" s="64"/>
      <c r="G192" s="64"/>
      <c r="H192" s="64"/>
      <c r="I192" s="64"/>
      <c r="J192" s="65">
        <f>-AVERAGE(I128,J128)*J186</f>
        <v>-100.53782977499999</v>
      </c>
      <c r="K192" s="65">
        <f>-AVERAGE(J128,K128)*K186</f>
        <v>-100.76124717450001</v>
      </c>
      <c r="L192" s="68" t="e">
        <f ca="1">-AVERAGE(K128,L128)*L186</f>
        <v>#VALUE!</v>
      </c>
      <c r="M192" s="68" t="e">
        <f ca="1">-AVERAGE(L128,M128)*M186</f>
        <v>#VALUE!</v>
      </c>
      <c r="N192" s="68" t="e">
        <f ca="1">-AVERAGE(M128,N128)*N186</f>
        <v>#VALUE!</v>
      </c>
    </row>
    <row r="193" spans="1:14" x14ac:dyDescent="0.3">
      <c r="A193" s="1"/>
      <c r="B193" s="2" t="s">
        <v>52</v>
      </c>
      <c r="C193" s="38"/>
      <c r="D193" s="64"/>
      <c r="E193" s="64"/>
      <c r="F193" s="64"/>
      <c r="G193" s="64"/>
      <c r="H193" s="64"/>
      <c r="I193" s="64"/>
      <c r="J193" s="65">
        <f>-J187*$D$35</f>
        <v>-27.21682877385599</v>
      </c>
      <c r="K193" s="65">
        <f>-K187*$D$35</f>
        <v>-27.21682877385599</v>
      </c>
      <c r="L193" s="65">
        <f>-L187*$D$35</f>
        <v>-27.21682877385599</v>
      </c>
      <c r="M193" s="65">
        <f>-M187*$D$35</f>
        <v>-27.21682877385599</v>
      </c>
      <c r="N193" s="65">
        <f>-N187*$D$35</f>
        <v>-27.21682877385599</v>
      </c>
    </row>
    <row r="194" spans="1:14" x14ac:dyDescent="0.3">
      <c r="A194" s="1"/>
      <c r="B194" s="7" t="s">
        <v>175</v>
      </c>
      <c r="C194" s="75"/>
      <c r="D194" s="64"/>
      <c r="E194" s="64"/>
      <c r="F194" s="64"/>
      <c r="G194" s="64"/>
      <c r="H194" s="64"/>
      <c r="I194" s="64"/>
      <c r="J194" s="65">
        <f>AVERAGE(I104,J104)*J181</f>
        <v>0.36299999999999999</v>
      </c>
      <c r="K194" s="65">
        <f>AVERAGE(J104,K104)*K181</f>
        <v>0.17500000000000002</v>
      </c>
      <c r="L194" s="65">
        <f>AVERAGE(K104,L104)*L181</f>
        <v>0.375</v>
      </c>
      <c r="M194" s="65">
        <f>AVERAGE(L104,M104)*M181</f>
        <v>0.77500000000000002</v>
      </c>
      <c r="N194" s="65">
        <f>AVERAGE(M104,N104)*N181</f>
        <v>1</v>
      </c>
    </row>
    <row r="195" spans="1:14" x14ac:dyDescent="0.3">
      <c r="A195" s="1"/>
      <c r="B195" s="6" t="s">
        <v>176</v>
      </c>
      <c r="C195" s="38"/>
      <c r="D195" s="64"/>
      <c r="E195" s="64"/>
      <c r="F195" s="64"/>
      <c r="G195" s="64"/>
      <c r="H195" s="64"/>
      <c r="I195" s="64"/>
      <c r="J195" s="68">
        <f>SUM(J190:J194)</f>
        <v>-178.28103354885599</v>
      </c>
      <c r="K195" s="68">
        <f>SUM(K190:K194)</f>
        <v>-177.41745094835599</v>
      </c>
      <c r="L195" s="68" t="e">
        <f ca="1">SUM(L190:L194)</f>
        <v>#VALUE!</v>
      </c>
      <c r="M195" s="68" t="e">
        <f ca="1">SUM(M190:M194)</f>
        <v>#VALUE!</v>
      </c>
      <c r="N195" s="68" t="e">
        <f ca="1">SUM(N190:N194)</f>
        <v>#VALUE!</v>
      </c>
    </row>
    <row r="196" spans="1:14" x14ac:dyDescent="0.3">
      <c r="A196" s="1"/>
      <c r="B196" s="2"/>
      <c r="C196" s="38"/>
      <c r="D196" s="59"/>
      <c r="E196" s="59"/>
      <c r="F196" s="59"/>
      <c r="G196" s="59"/>
      <c r="H196" s="59"/>
      <c r="I196" s="59"/>
      <c r="J196" s="71"/>
      <c r="K196" s="71"/>
      <c r="L196" s="71"/>
      <c r="M196" s="71"/>
      <c r="N196" s="71"/>
    </row>
    <row r="197" spans="1:14" x14ac:dyDescent="0.3">
      <c r="A197" s="1"/>
      <c r="B197" s="20" t="s">
        <v>177</v>
      </c>
      <c r="C197" s="38"/>
      <c r="D197" s="59"/>
      <c r="E197" s="59"/>
      <c r="F197" s="59"/>
      <c r="G197" s="59"/>
      <c r="H197" s="59"/>
      <c r="I197" s="59"/>
      <c r="J197" s="71"/>
      <c r="K197" s="71"/>
      <c r="L197" s="71"/>
      <c r="M197" s="71"/>
      <c r="N197" s="71"/>
    </row>
    <row r="198" spans="1:14" x14ac:dyDescent="0.3">
      <c r="A198" s="1"/>
      <c r="B198" s="2" t="s">
        <v>167</v>
      </c>
      <c r="C198" s="38"/>
      <c r="D198" s="64"/>
      <c r="E198" s="64"/>
      <c r="F198" s="64"/>
      <c r="G198" s="64"/>
      <c r="H198" s="64"/>
      <c r="I198" s="64"/>
      <c r="J198" s="65">
        <f>I104</f>
        <v>192</v>
      </c>
      <c r="K198" s="65">
        <f>J176</f>
        <v>50</v>
      </c>
      <c r="L198" s="65">
        <f>K176</f>
        <v>50</v>
      </c>
      <c r="M198" s="65">
        <f>L176</f>
        <v>50</v>
      </c>
      <c r="N198" s="65">
        <f>M176</f>
        <v>50</v>
      </c>
    </row>
    <row r="199" spans="1:14" x14ac:dyDescent="0.3">
      <c r="A199" s="1"/>
      <c r="B199" s="2" t="s">
        <v>178</v>
      </c>
      <c r="C199" s="38"/>
      <c r="D199" s="64"/>
      <c r="E199" s="64"/>
      <c r="F199" s="64"/>
      <c r="G199" s="64"/>
      <c r="H199" s="64"/>
      <c r="I199" s="64"/>
      <c r="J199" s="65">
        <f>-J176</f>
        <v>-50</v>
      </c>
      <c r="K199" s="65">
        <f>-K176</f>
        <v>-50</v>
      </c>
      <c r="L199" s="65">
        <f>-L176</f>
        <v>-50</v>
      </c>
      <c r="M199" s="65">
        <f>-M176</f>
        <v>-50</v>
      </c>
      <c r="N199" s="65">
        <f>-N176</f>
        <v>-50</v>
      </c>
    </row>
    <row r="200" spans="1:14" x14ac:dyDescent="0.3">
      <c r="A200" s="1"/>
      <c r="B200" s="7" t="s">
        <v>179</v>
      </c>
      <c r="C200" s="75"/>
      <c r="D200" s="64"/>
      <c r="E200" s="64"/>
      <c r="F200" s="64"/>
      <c r="G200" s="64"/>
      <c r="H200" s="64"/>
      <c r="I200" s="64"/>
      <c r="J200" s="68">
        <f>J165</f>
        <v>297.67256941367316</v>
      </c>
      <c r="K200" s="68">
        <f>K165</f>
        <v>275.36924925225969</v>
      </c>
      <c r="L200" s="68" t="e">
        <f ca="1">L165</f>
        <v>#VALUE!</v>
      </c>
      <c r="M200" s="68" t="e">
        <f ca="1">M165</f>
        <v>#VALUE!</v>
      </c>
      <c r="N200" s="68" t="e">
        <f ca="1">N165</f>
        <v>#VALUE!</v>
      </c>
    </row>
    <row r="201" spans="1:14" x14ac:dyDescent="0.3">
      <c r="A201" s="1"/>
      <c r="B201" s="6" t="s">
        <v>180</v>
      </c>
      <c r="C201" s="38"/>
      <c r="D201" s="66"/>
      <c r="E201" s="66"/>
      <c r="F201" s="66"/>
      <c r="G201" s="64"/>
      <c r="H201" s="64"/>
      <c r="I201" s="64"/>
      <c r="J201" s="69">
        <f>J198+J199+J200</f>
        <v>439.67256941367316</v>
      </c>
      <c r="K201" s="69">
        <f>K198+K199+K200</f>
        <v>275.36924925225969</v>
      </c>
      <c r="L201" s="69" t="e">
        <f ca="1">L198+L199+L200</f>
        <v>#VALUE!</v>
      </c>
      <c r="M201" s="69" t="e">
        <f ca="1">M198+M199+M200</f>
        <v>#VALUE!</v>
      </c>
      <c r="N201" s="69" t="e">
        <f ca="1">N198+N199+N200</f>
        <v>#VALUE!</v>
      </c>
    </row>
    <row r="202" spans="1:14" x14ac:dyDescent="0.3">
      <c r="A202" s="1"/>
      <c r="B202" s="7" t="s">
        <v>181</v>
      </c>
      <c r="C202" s="75"/>
      <c r="D202" s="64"/>
      <c r="E202" s="64"/>
      <c r="F202" s="64"/>
      <c r="G202" s="64"/>
      <c r="H202" s="64"/>
      <c r="I202" s="64"/>
      <c r="J202" s="65">
        <f>MAX(-J201,0)</f>
        <v>0</v>
      </c>
      <c r="K202" s="65">
        <f>MAX(-K201,0)</f>
        <v>0</v>
      </c>
      <c r="L202" s="65" t="e">
        <f ca="1">MAX(-L201,0)</f>
        <v>#VALUE!</v>
      </c>
      <c r="M202" s="65" t="e">
        <f ca="1">MAX(-M201,0)</f>
        <v>#VALUE!</v>
      </c>
      <c r="N202" s="65" t="e">
        <f ca="1">MAX(-N201,0)</f>
        <v>#VALUE!</v>
      </c>
    </row>
    <row r="203" spans="1:14" x14ac:dyDescent="0.3">
      <c r="A203" s="1"/>
      <c r="B203" s="6" t="s">
        <v>182</v>
      </c>
      <c r="C203" s="38"/>
      <c r="D203" s="66"/>
      <c r="E203" s="66"/>
      <c r="F203" s="66"/>
      <c r="G203" s="64"/>
      <c r="H203" s="64"/>
      <c r="I203" s="64"/>
      <c r="J203" s="69">
        <f>J201+J202</f>
        <v>439.67256941367316</v>
      </c>
      <c r="K203" s="69">
        <f>K201+K202</f>
        <v>275.36924925225969</v>
      </c>
      <c r="L203" s="69" t="e">
        <f ca="1">L201+L202</f>
        <v>#VALUE!</v>
      </c>
      <c r="M203" s="69" t="e">
        <f ca="1">M201+M202</f>
        <v>#VALUE!</v>
      </c>
      <c r="N203" s="69" t="e">
        <f ca="1">N201+N202</f>
        <v>#VALUE!</v>
      </c>
    </row>
    <row r="204" spans="1:14" x14ac:dyDescent="0.3">
      <c r="A204" s="1"/>
      <c r="B204" s="2"/>
      <c r="C204" s="38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</row>
    <row r="205" spans="1:14" x14ac:dyDescent="0.3">
      <c r="A205" s="1"/>
      <c r="B205" s="20" t="s">
        <v>183</v>
      </c>
      <c r="C205" s="38"/>
      <c r="D205" s="66"/>
      <c r="E205" s="66"/>
      <c r="F205" s="66"/>
      <c r="G205" s="64"/>
      <c r="H205" s="64"/>
      <c r="I205" s="64"/>
      <c r="J205" s="66"/>
      <c r="K205" s="66"/>
      <c r="L205" s="66"/>
      <c r="M205" s="66"/>
      <c r="N205" s="66"/>
    </row>
    <row r="206" spans="1:14" x14ac:dyDescent="0.3">
      <c r="A206" s="1"/>
      <c r="B206" s="2" t="s">
        <v>184</v>
      </c>
      <c r="C206" s="38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</row>
    <row r="207" spans="1:14" x14ac:dyDescent="0.3">
      <c r="A207" s="1"/>
      <c r="B207" s="2" t="s">
        <v>49</v>
      </c>
      <c r="C207" s="38"/>
      <c r="D207" s="64"/>
      <c r="E207" s="64"/>
      <c r="F207" s="64"/>
      <c r="G207" s="64"/>
      <c r="H207" s="64"/>
      <c r="I207" s="64"/>
      <c r="J207" s="65">
        <f>D33*J33</f>
        <v>79.382417257079979</v>
      </c>
      <c r="K207" s="65">
        <f>$J$207</f>
        <v>79.382417257079979</v>
      </c>
      <c r="L207" s="65">
        <f>$J$207</f>
        <v>79.382417257079979</v>
      </c>
      <c r="M207" s="65">
        <f>G33*M33</f>
        <v>0</v>
      </c>
      <c r="N207" s="65">
        <f>H33*N33</f>
        <v>0</v>
      </c>
    </row>
    <row r="208" spans="1:14" x14ac:dyDescent="0.3">
      <c r="A208" s="1"/>
      <c r="B208" s="2" t="s">
        <v>50</v>
      </c>
      <c r="C208" s="38"/>
      <c r="D208" s="64"/>
      <c r="E208" s="64"/>
      <c r="F208" s="64"/>
      <c r="G208" s="64"/>
      <c r="H208" s="64"/>
      <c r="I208" s="64"/>
      <c r="J208" s="65">
        <f>D34*J34</f>
        <v>24.948759709367998</v>
      </c>
      <c r="K208" s="65">
        <f>$J$208</f>
        <v>24.948759709367998</v>
      </c>
      <c r="L208" s="65">
        <f>$J$208</f>
        <v>24.948759709367998</v>
      </c>
      <c r="M208" s="65">
        <f>$J$208</f>
        <v>24.948759709367998</v>
      </c>
      <c r="N208" s="65">
        <f>$J$208</f>
        <v>24.948759709367998</v>
      </c>
    </row>
    <row r="209" spans="1:14" x14ac:dyDescent="0.3">
      <c r="A209" s="1"/>
      <c r="B209" s="7" t="s">
        <v>52</v>
      </c>
      <c r="C209" s="75"/>
      <c r="D209" s="66"/>
      <c r="E209" s="66"/>
      <c r="F209" s="66"/>
      <c r="G209" s="64"/>
      <c r="H209" s="64"/>
      <c r="I209" s="64"/>
      <c r="J209" s="65">
        <f>D35*J35</f>
        <v>0</v>
      </c>
      <c r="K209" s="65">
        <f>$J$209</f>
        <v>0</v>
      </c>
      <c r="L209" s="65">
        <f>$J$209</f>
        <v>0</v>
      </c>
      <c r="M209" s="65">
        <f>$J$209</f>
        <v>0</v>
      </c>
      <c r="N209" s="65">
        <f>$J$209</f>
        <v>0</v>
      </c>
    </row>
    <row r="210" spans="1:14" x14ac:dyDescent="0.3">
      <c r="A210" s="1"/>
      <c r="B210" s="6" t="s">
        <v>185</v>
      </c>
      <c r="C210" s="38"/>
      <c r="D210" s="64"/>
      <c r="E210" s="64"/>
      <c r="F210" s="64"/>
      <c r="G210" s="64"/>
      <c r="H210" s="64"/>
      <c r="I210" s="64"/>
      <c r="J210" s="67">
        <f>J207+J208+J209</f>
        <v>104.33117696644797</v>
      </c>
      <c r="K210" s="67">
        <f>K207+K208+K209</f>
        <v>104.33117696644797</v>
      </c>
      <c r="L210" s="67">
        <f>L207+L208+L209</f>
        <v>104.33117696644797</v>
      </c>
      <c r="M210" s="67">
        <f>M207+M208+M209</f>
        <v>24.948759709367998</v>
      </c>
      <c r="N210" s="67">
        <f>N207+N208+N209</f>
        <v>24.948759709367998</v>
      </c>
    </row>
    <row r="211" spans="1:14" x14ac:dyDescent="0.3">
      <c r="A211" s="1"/>
      <c r="B211" s="2"/>
      <c r="C211" s="38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</row>
    <row r="212" spans="1:14" x14ac:dyDescent="0.3">
      <c r="A212" s="1"/>
      <c r="B212" s="20" t="s">
        <v>186</v>
      </c>
      <c r="C212" s="38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</row>
    <row r="213" spans="1:14" x14ac:dyDescent="0.3">
      <c r="A213" s="1"/>
      <c r="B213" s="2" t="s">
        <v>46</v>
      </c>
      <c r="C213" s="38"/>
      <c r="D213" s="64"/>
      <c r="E213" s="64"/>
      <c r="F213" s="64"/>
      <c r="G213" s="64"/>
      <c r="H213" s="64"/>
      <c r="I213" s="64"/>
      <c r="J213" s="68">
        <f ca="1">MIN(J217-J210-J176,I120)</f>
        <v>100</v>
      </c>
      <c r="K213" s="68" t="s">
        <v>136</v>
      </c>
      <c r="L213" s="68" t="s">
        <v>136</v>
      </c>
      <c r="M213" s="68" t="s">
        <v>136</v>
      </c>
      <c r="N213" s="68" t="s">
        <v>136</v>
      </c>
    </row>
    <row r="214" spans="1:14" x14ac:dyDescent="0.3">
      <c r="A214" s="1"/>
      <c r="B214" s="2" t="s">
        <v>49</v>
      </c>
      <c r="C214" s="38"/>
      <c r="D214" s="64"/>
      <c r="E214" s="64"/>
      <c r="F214" s="64"/>
      <c r="G214" s="64"/>
      <c r="H214" s="64"/>
      <c r="I214" s="64"/>
      <c r="J214" s="68">
        <f ca="1">J201-J213</f>
        <v>339.67256941367316</v>
      </c>
      <c r="K214" s="68" t="s">
        <v>136</v>
      </c>
      <c r="L214" s="68" t="s">
        <v>136</v>
      </c>
      <c r="M214" s="68" t="s">
        <v>136</v>
      </c>
      <c r="N214" s="68" t="s">
        <v>136</v>
      </c>
    </row>
    <row r="215" spans="1:14" x14ac:dyDescent="0.3">
      <c r="A215" s="1"/>
      <c r="B215" s="2" t="s">
        <v>50</v>
      </c>
      <c r="C215" s="38"/>
      <c r="D215" s="64"/>
      <c r="E215" s="64"/>
      <c r="F215" s="64"/>
      <c r="G215" s="64"/>
      <c r="H215" s="64"/>
      <c r="I215" s="64"/>
      <c r="J215" s="65" t="s">
        <v>136</v>
      </c>
      <c r="K215" s="65" t="s">
        <v>136</v>
      </c>
      <c r="L215" s="68" t="s">
        <v>136</v>
      </c>
      <c r="M215" s="68" t="s">
        <v>136</v>
      </c>
      <c r="N215" s="68" t="s">
        <v>136</v>
      </c>
    </row>
    <row r="216" spans="1:14" x14ac:dyDescent="0.3">
      <c r="A216" s="1"/>
      <c r="B216" s="7" t="s">
        <v>52</v>
      </c>
      <c r="C216" s="75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</row>
    <row r="217" spans="1:14" x14ac:dyDescent="0.3">
      <c r="A217" s="1"/>
      <c r="B217" s="6" t="s">
        <v>187</v>
      </c>
      <c r="C217" s="38"/>
      <c r="D217" s="66"/>
      <c r="E217" s="66"/>
      <c r="F217" s="66"/>
      <c r="G217" s="64"/>
      <c r="H217" s="64"/>
      <c r="I217" s="64"/>
      <c r="J217" s="69">
        <f ca="1">J213+J214+J215</f>
        <v>439.67256941367316</v>
      </c>
      <c r="K217" s="69">
        <f>K213+K214+K215</f>
        <v>0</v>
      </c>
      <c r="L217" s="69">
        <f>L213+L214+L215</f>
        <v>0</v>
      </c>
      <c r="M217" s="69">
        <f>M213+M214+M215</f>
        <v>0</v>
      </c>
      <c r="N217" s="69">
        <f>N213+N214+N215</f>
        <v>0</v>
      </c>
    </row>
    <row r="218" spans="1:14" x14ac:dyDescent="0.3">
      <c r="A218" s="1"/>
      <c r="B218" s="2"/>
      <c r="C218" s="38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</row>
    <row r="219" spans="1:14" x14ac:dyDescent="0.3">
      <c r="A219" s="1"/>
      <c r="B219" s="7" t="s">
        <v>188</v>
      </c>
      <c r="C219" s="75"/>
      <c r="D219" s="64"/>
      <c r="E219" s="64"/>
      <c r="F219" s="64"/>
      <c r="G219" s="64"/>
      <c r="H219" s="64"/>
      <c r="I219" s="64"/>
      <c r="J219" s="68" t="s">
        <v>136</v>
      </c>
      <c r="K219" s="68" t="s">
        <v>136</v>
      </c>
      <c r="L219" s="68" t="s">
        <v>136</v>
      </c>
      <c r="M219" s="68" t="s">
        <v>136</v>
      </c>
      <c r="N219" s="68" t="s">
        <v>136</v>
      </c>
    </row>
    <row r="220" spans="1:14" x14ac:dyDescent="0.3">
      <c r="A220" s="1"/>
      <c r="B220" s="6" t="s">
        <v>189</v>
      </c>
      <c r="C220" s="38"/>
      <c r="D220" s="66"/>
      <c r="E220" s="66"/>
      <c r="F220" s="66"/>
      <c r="G220" s="64"/>
      <c r="H220" s="64"/>
      <c r="I220" s="64"/>
      <c r="J220" s="69">
        <f ca="1">J210+J217+J219</f>
        <v>544.00374638012113</v>
      </c>
      <c r="K220" s="69">
        <f>K210+K217+K219</f>
        <v>104.33117696644797</v>
      </c>
      <c r="L220" s="69">
        <f>L210+L217+L219</f>
        <v>104.33117696644797</v>
      </c>
      <c r="M220" s="69">
        <f>M210+M217+M219</f>
        <v>24.948759709367998</v>
      </c>
      <c r="N220" s="69">
        <f>N210+N217+N219</f>
        <v>24.948759709367998</v>
      </c>
    </row>
    <row r="221" spans="1:14" x14ac:dyDescent="0.3">
      <c r="A221" s="1"/>
      <c r="B221" s="2"/>
      <c r="C221" s="38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</row>
    <row r="222" spans="1:14" ht="19.95" customHeight="1" x14ac:dyDescent="0.3">
      <c r="A222" s="1"/>
      <c r="B222" s="19" t="s">
        <v>190</v>
      </c>
      <c r="C222" s="37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</row>
    <row r="223" spans="1:14" x14ac:dyDescent="0.3">
      <c r="A223" s="1"/>
      <c r="B223" s="2"/>
      <c r="C223" s="90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</row>
    <row r="224" spans="1:14" x14ac:dyDescent="0.3">
      <c r="A224" s="1"/>
      <c r="B224" s="2" t="s">
        <v>116</v>
      </c>
      <c r="C224" s="90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</row>
    <row r="225" spans="1:14" x14ac:dyDescent="0.3">
      <c r="A225" s="1"/>
      <c r="B225" s="2" t="s">
        <v>191</v>
      </c>
      <c r="C225" s="90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</row>
    <row r="226" spans="1:14" x14ac:dyDescent="0.3">
      <c r="A226" s="1"/>
      <c r="B226" s="2" t="s">
        <v>41</v>
      </c>
      <c r="C226" s="90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</row>
    <row r="227" spans="1:14" x14ac:dyDescent="0.3">
      <c r="A227" s="1"/>
      <c r="B227" s="2" t="s">
        <v>60</v>
      </c>
      <c r="C227" s="90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</row>
    <row r="228" spans="1:14" x14ac:dyDescent="0.3">
      <c r="A228" s="1"/>
      <c r="B228" s="6" t="s">
        <v>192</v>
      </c>
      <c r="C228" s="90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</row>
    <row r="229" spans="1:14" x14ac:dyDescent="0.3">
      <c r="A229" s="15"/>
      <c r="B229" s="15"/>
      <c r="C229" s="94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</row>
    <row r="230" spans="1:14" hidden="1" x14ac:dyDescent="0.3">
      <c r="A230" s="15"/>
      <c r="B230" s="15"/>
      <c r="C230" s="96"/>
      <c r="D230" s="97"/>
      <c r="E230" s="97"/>
      <c r="F230" s="97"/>
      <c r="G230" s="97"/>
      <c r="H230" s="97"/>
      <c r="I230" s="97">
        <f>-I139</f>
        <v>-2972.12</v>
      </c>
      <c r="J230" s="97">
        <f>J227</f>
        <v>0</v>
      </c>
      <c r="K230" s="97">
        <f>K227</f>
        <v>0</v>
      </c>
      <c r="L230" s="97">
        <f>L227</f>
        <v>0</v>
      </c>
      <c r="M230" s="97">
        <f>M227</f>
        <v>0</v>
      </c>
      <c r="N230" s="97">
        <f>N227</f>
        <v>0</v>
      </c>
    </row>
  </sheetData>
  <mergeCells count="15">
    <mergeCell ref="D179:F179"/>
    <mergeCell ref="G64:I64"/>
    <mergeCell ref="J80:N80"/>
    <mergeCell ref="D101:F101"/>
    <mergeCell ref="J148:N148"/>
    <mergeCell ref="G148:I148"/>
    <mergeCell ref="J179:N179"/>
    <mergeCell ref="D64:F64"/>
    <mergeCell ref="G101:I101"/>
    <mergeCell ref="J101:N101"/>
    <mergeCell ref="B48:C48"/>
    <mergeCell ref="J64:N64"/>
    <mergeCell ref="G80:I80"/>
    <mergeCell ref="D80:F80"/>
    <mergeCell ref="D148:F1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B149-F875-4F9A-BAC3-964D0DD2A2A1}">
  <dimension ref="A1:N274"/>
  <sheetViews>
    <sheetView showGridLines="0" topLeftCell="A17" zoomScale="60" zoomScaleNormal="60" workbookViewId="0">
      <pane xSplit="3" topLeftCell="D1" activePane="topRight" state="frozen"/>
      <selection activeCell="A8" sqref="A8"/>
      <selection pane="topRight" activeCell="H25" sqref="H25"/>
    </sheetView>
  </sheetViews>
  <sheetFormatPr defaultRowHeight="14.4" x14ac:dyDescent="0.3"/>
  <cols>
    <col min="1" max="1" width="3.33203125" customWidth="1"/>
    <col min="2" max="2" width="46.33203125" customWidth="1"/>
    <col min="3" max="14" width="15.21875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63" customHeight="1" x14ac:dyDescent="0.3">
      <c r="A2" s="1"/>
      <c r="B2" s="16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8.6" customHeight="1" x14ac:dyDescent="0.3">
      <c r="A4" s="1"/>
      <c r="B4" s="17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18" t="s">
        <v>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1"/>
      <c r="B7" s="1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 ht="48.6" customHeight="1" x14ac:dyDescent="0.3">
      <c r="A8" s="1"/>
      <c r="B8" s="20" t="s">
        <v>3</v>
      </c>
      <c r="C8" s="39" t="s">
        <v>4</v>
      </c>
      <c r="D8" s="39"/>
      <c r="E8" s="40" t="s">
        <v>5</v>
      </c>
      <c r="F8" s="41">
        <v>41987</v>
      </c>
      <c r="G8" s="39"/>
      <c r="H8" s="40" t="s">
        <v>6</v>
      </c>
      <c r="I8" s="46">
        <v>12</v>
      </c>
      <c r="J8" s="38"/>
      <c r="K8" s="38" t="s">
        <v>8</v>
      </c>
      <c r="L8" s="38">
        <v>1</v>
      </c>
      <c r="M8" s="38"/>
      <c r="N8" s="38"/>
    </row>
    <row r="9" spans="1:14" ht="43.2" customHeight="1" x14ac:dyDescent="0.3">
      <c r="A9" s="1"/>
      <c r="B9" s="2" t="s">
        <v>9</v>
      </c>
      <c r="C9" s="22">
        <v>68.91</v>
      </c>
      <c r="D9" s="39"/>
      <c r="E9" s="39" t="s">
        <v>10</v>
      </c>
      <c r="F9" s="43">
        <f>C20</f>
        <v>5250.1955849999995</v>
      </c>
      <c r="G9" s="39"/>
      <c r="H9" s="39"/>
      <c r="I9" s="39"/>
      <c r="J9" s="38"/>
      <c r="K9" s="38"/>
      <c r="L9" s="38"/>
      <c r="M9" s="38"/>
      <c r="N9" s="38"/>
    </row>
    <row r="10" spans="1:14" ht="39.6" customHeight="1" x14ac:dyDescent="0.3">
      <c r="A10" s="1"/>
      <c r="B10" s="2" t="s">
        <v>11</v>
      </c>
      <c r="C10" s="23">
        <v>0.15</v>
      </c>
      <c r="D10" s="39"/>
      <c r="E10" s="39" t="s">
        <v>12</v>
      </c>
      <c r="F10" s="43">
        <f>C26</f>
        <v>6208.1955849999995</v>
      </c>
      <c r="G10" s="39"/>
      <c r="H10" s="39" t="s">
        <v>13</v>
      </c>
      <c r="I10" s="3">
        <v>3.0000000000000001E-3</v>
      </c>
      <c r="J10" s="38"/>
      <c r="K10" s="38"/>
      <c r="L10" s="38"/>
      <c r="M10" s="38"/>
      <c r="N10" s="38"/>
    </row>
    <row r="11" spans="1:14" ht="43.2" customHeight="1" x14ac:dyDescent="0.3">
      <c r="A11" s="1"/>
      <c r="B11" s="2" t="s">
        <v>14</v>
      </c>
      <c r="C11" s="42">
        <f>C9*(1+C10)</f>
        <v>79.246499999999983</v>
      </c>
      <c r="D11" s="39"/>
      <c r="E11" s="39" t="s">
        <v>15</v>
      </c>
      <c r="F11" s="109">
        <f>F10/F98</f>
        <v>11.915922428023032</v>
      </c>
      <c r="G11" s="39"/>
      <c r="H11" s="39" t="s">
        <v>16</v>
      </c>
      <c r="I11" s="3">
        <v>1.4999999999999999E-2</v>
      </c>
      <c r="J11" s="38"/>
      <c r="K11" s="38"/>
      <c r="L11" s="38"/>
      <c r="M11" s="38"/>
      <c r="N11" s="38"/>
    </row>
    <row r="12" spans="1:14" ht="43.2" customHeight="1" x14ac:dyDescent="0.3">
      <c r="A12" s="1"/>
      <c r="B12" s="2" t="s">
        <v>17</v>
      </c>
      <c r="C12" s="23">
        <v>0.72</v>
      </c>
      <c r="D12" s="39"/>
      <c r="E12" s="39" t="s">
        <v>18</v>
      </c>
      <c r="F12" s="43">
        <f>F9*C12</f>
        <v>3780.1408211999997</v>
      </c>
      <c r="G12" s="39"/>
      <c r="H12" s="39" t="s">
        <v>19</v>
      </c>
      <c r="I12" s="25">
        <v>15</v>
      </c>
      <c r="J12" s="38"/>
      <c r="K12" s="38"/>
      <c r="L12" s="38"/>
      <c r="M12" s="38"/>
      <c r="N12" s="38"/>
    </row>
    <row r="13" spans="1:14" x14ac:dyDescent="0.3">
      <c r="A13" s="1"/>
      <c r="B13" s="2"/>
      <c r="C13" s="39"/>
      <c r="D13" s="39"/>
      <c r="E13" s="39"/>
      <c r="F13" s="39"/>
      <c r="G13" s="39"/>
      <c r="H13" s="39"/>
      <c r="I13" s="39"/>
      <c r="J13" s="38"/>
      <c r="K13" s="38"/>
      <c r="L13" s="38"/>
      <c r="M13" s="38"/>
      <c r="N13" s="38"/>
    </row>
    <row r="14" spans="1:14" ht="28.8" customHeight="1" x14ac:dyDescent="0.3">
      <c r="A14" s="1"/>
      <c r="B14" s="2"/>
      <c r="C14" s="39"/>
      <c r="D14" s="39"/>
      <c r="E14" s="39"/>
      <c r="F14" s="39"/>
      <c r="G14" s="39"/>
      <c r="H14" s="40" t="s">
        <v>20</v>
      </c>
      <c r="I14" s="4">
        <v>10000</v>
      </c>
      <c r="J14" s="38"/>
      <c r="K14" s="38"/>
      <c r="L14" s="38"/>
      <c r="M14" s="38"/>
      <c r="N14" s="38"/>
    </row>
    <row r="15" spans="1:14" ht="48.6" customHeight="1" x14ac:dyDescent="0.3">
      <c r="A15" s="1"/>
      <c r="B15" s="19" t="s">
        <v>21</v>
      </c>
      <c r="C15" s="47"/>
      <c r="D15" s="47"/>
      <c r="E15" s="47"/>
      <c r="F15" s="47"/>
      <c r="G15" s="47"/>
      <c r="H15" s="106" t="s">
        <v>22</v>
      </c>
      <c r="I15" s="107">
        <v>50</v>
      </c>
      <c r="J15" s="37"/>
      <c r="K15" s="37"/>
      <c r="L15" s="37"/>
      <c r="M15" s="37"/>
      <c r="N15" s="37"/>
    </row>
    <row r="16" spans="1:14" x14ac:dyDescent="0.3">
      <c r="A16" s="1"/>
      <c r="B16" s="2"/>
      <c r="C16" s="39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ht="28.8" customHeight="1" x14ac:dyDescent="0.3">
      <c r="A17" s="1"/>
      <c r="B17" s="20" t="s">
        <v>23</v>
      </c>
      <c r="C17" s="24">
        <v>63.79</v>
      </c>
      <c r="D17" s="38"/>
      <c r="E17" s="49" t="s">
        <v>24</v>
      </c>
      <c r="F17" s="38"/>
      <c r="G17" s="38"/>
      <c r="H17" s="38"/>
      <c r="I17" s="38"/>
      <c r="J17" s="38"/>
      <c r="K17" s="38"/>
      <c r="L17" s="38"/>
      <c r="M17" s="38"/>
      <c r="N17" s="38"/>
    </row>
    <row r="18" spans="1:14" ht="28.8" customHeight="1" x14ac:dyDescent="0.3">
      <c r="A18" s="1"/>
      <c r="B18" s="2" t="s">
        <v>24</v>
      </c>
      <c r="C18" s="48">
        <f>C17+H25</f>
        <v>66.251450663436245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28.8" customHeight="1" x14ac:dyDescent="0.3">
      <c r="A19" s="1"/>
      <c r="B19" s="2"/>
      <c r="C19" s="39"/>
      <c r="D19" s="38"/>
      <c r="E19" s="50" t="s">
        <v>25</v>
      </c>
      <c r="F19" s="50" t="s">
        <v>26</v>
      </c>
      <c r="G19" s="50" t="s">
        <v>27</v>
      </c>
      <c r="H19" s="50" t="s">
        <v>28</v>
      </c>
      <c r="I19" s="38"/>
      <c r="J19" s="38"/>
      <c r="K19" s="38"/>
      <c r="L19" s="38"/>
      <c r="M19" s="38"/>
      <c r="N19" s="38"/>
    </row>
    <row r="20" spans="1:14" ht="43.2" customHeight="1" x14ac:dyDescent="0.3">
      <c r="A20" s="1"/>
      <c r="B20" s="6" t="s">
        <v>29</v>
      </c>
      <c r="C20" s="51">
        <f>C18*C11</f>
        <v>5250.1955849999995</v>
      </c>
      <c r="D20" s="38"/>
      <c r="E20" s="39" t="s">
        <v>30</v>
      </c>
      <c r="F20" s="27">
        <v>0.6</v>
      </c>
      <c r="G20" s="22">
        <v>20</v>
      </c>
      <c r="H20" s="52">
        <f>-(F20*G20/$C$11-F20)</f>
        <v>0.44857375404591993</v>
      </c>
      <c r="I20" s="38"/>
      <c r="J20" s="38"/>
      <c r="K20" s="38"/>
      <c r="L20" s="38"/>
      <c r="M20" s="38"/>
      <c r="N20" s="38"/>
    </row>
    <row r="21" spans="1:14" ht="57.6" customHeight="1" x14ac:dyDescent="0.3">
      <c r="A21" s="1"/>
      <c r="B21" s="2" t="s">
        <v>31</v>
      </c>
      <c r="C21" s="43">
        <f>-F104</f>
        <v>-192</v>
      </c>
      <c r="D21" s="38"/>
      <c r="E21" s="39" t="s">
        <v>32</v>
      </c>
      <c r="F21" s="27">
        <v>1.1000000000000001</v>
      </c>
      <c r="G21" s="22">
        <v>30</v>
      </c>
      <c r="H21" s="52">
        <f>-(F21*G21/$C$11-F21)</f>
        <v>0.68357782362627995</v>
      </c>
      <c r="I21" s="38"/>
      <c r="J21" s="38"/>
      <c r="K21" s="38"/>
      <c r="L21" s="38"/>
      <c r="M21" s="38"/>
      <c r="N21" s="38"/>
    </row>
    <row r="22" spans="1:14" ht="28.8" customHeight="1" x14ac:dyDescent="0.3">
      <c r="A22" s="1"/>
      <c r="B22" s="2" t="s">
        <v>33</v>
      </c>
      <c r="C22" s="43">
        <f>F126</f>
        <v>1150</v>
      </c>
      <c r="D22" s="38"/>
      <c r="E22" s="39" t="s">
        <v>34</v>
      </c>
      <c r="F22" s="27">
        <v>0.9</v>
      </c>
      <c r="G22" s="22">
        <v>40</v>
      </c>
      <c r="H22" s="52">
        <f>-(F22*G22/$C$11-F22)</f>
        <v>0.44572126213775998</v>
      </c>
      <c r="I22" s="38"/>
      <c r="J22" s="38"/>
      <c r="K22" s="38"/>
      <c r="L22" s="38"/>
      <c r="M22" s="38"/>
      <c r="N22" s="38"/>
    </row>
    <row r="23" spans="1:14" ht="57.6" customHeight="1" x14ac:dyDescent="0.3">
      <c r="A23" s="1"/>
      <c r="B23" s="2" t="s">
        <v>35</v>
      </c>
      <c r="C23" s="25">
        <v>0</v>
      </c>
      <c r="D23" s="38"/>
      <c r="E23" s="39" t="s">
        <v>36</v>
      </c>
      <c r="F23" s="27">
        <v>0.6</v>
      </c>
      <c r="G23" s="22">
        <v>55</v>
      </c>
      <c r="H23" s="52">
        <f>-(F23*G23/$C$11-F23)</f>
        <v>0.18357782362627989</v>
      </c>
      <c r="I23" s="38"/>
      <c r="J23" s="38"/>
      <c r="K23" s="38"/>
      <c r="L23" s="38"/>
      <c r="M23" s="38"/>
      <c r="N23" s="38"/>
    </row>
    <row r="24" spans="1:14" ht="43.2" customHeight="1" x14ac:dyDescent="0.3">
      <c r="A24" s="1"/>
      <c r="B24" s="2" t="s">
        <v>37</v>
      </c>
      <c r="C24" s="25">
        <v>0</v>
      </c>
      <c r="D24" s="38"/>
      <c r="E24" s="53" t="s">
        <v>38</v>
      </c>
      <c r="F24" s="28">
        <v>0.7</v>
      </c>
      <c r="G24" s="53"/>
      <c r="H24" s="52">
        <f>-(F24*G24/$C$11-F24)</f>
        <v>0.7</v>
      </c>
      <c r="I24" s="38"/>
      <c r="J24" s="38"/>
      <c r="K24" s="38"/>
      <c r="L24" s="38"/>
      <c r="M24" s="38"/>
      <c r="N24" s="38"/>
    </row>
    <row r="25" spans="1:14" ht="43.2" customHeight="1" x14ac:dyDescent="0.3">
      <c r="A25" s="1"/>
      <c r="B25" s="7" t="s">
        <v>39</v>
      </c>
      <c r="C25" s="26">
        <v>0</v>
      </c>
      <c r="D25" s="38"/>
      <c r="E25" s="40" t="s">
        <v>40</v>
      </c>
      <c r="F25" s="39"/>
      <c r="G25" s="39"/>
      <c r="H25" s="132">
        <f>SUM(H20:H24)</f>
        <v>2.4614506634362394</v>
      </c>
      <c r="I25" s="38"/>
      <c r="J25" s="38"/>
      <c r="K25" s="38"/>
      <c r="L25" s="38"/>
      <c r="M25" s="38"/>
      <c r="N25" s="38"/>
    </row>
    <row r="26" spans="1:14" ht="28.8" customHeight="1" x14ac:dyDescent="0.3">
      <c r="A26" s="1"/>
      <c r="B26" s="6" t="s">
        <v>41</v>
      </c>
      <c r="C26" s="51">
        <f>SUM(C20:C25)</f>
        <v>6208.1955849999995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x14ac:dyDescent="0.3">
      <c r="A27" s="1"/>
      <c r="B27" s="2"/>
      <c r="C27" s="39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 ht="19.95" customHeight="1" x14ac:dyDescent="0.3">
      <c r="A28" s="1"/>
      <c r="B28" s="19" t="s">
        <v>42</v>
      </c>
      <c r="C28" s="4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x14ac:dyDescent="0.3">
      <c r="A29" s="1"/>
      <c r="B29" s="2"/>
      <c r="C29" s="39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 ht="27.6" x14ac:dyDescent="0.3">
      <c r="A30" s="1"/>
      <c r="B30" s="20" t="s">
        <v>18</v>
      </c>
      <c r="C30" s="39"/>
      <c r="D30" s="38"/>
      <c r="E30" s="38"/>
      <c r="F30" s="40" t="s">
        <v>43</v>
      </c>
      <c r="G30" s="39"/>
      <c r="H30" s="39"/>
      <c r="I30" s="40" t="s">
        <v>44</v>
      </c>
      <c r="J30" s="39"/>
      <c r="K30" s="38"/>
      <c r="L30" s="38"/>
      <c r="M30" s="38"/>
      <c r="N30" s="38"/>
    </row>
    <row r="31" spans="1:14" x14ac:dyDescent="0.3">
      <c r="A31" s="1"/>
      <c r="B31" s="2"/>
      <c r="C31" s="39"/>
      <c r="D31" s="40" t="s">
        <v>45</v>
      </c>
      <c r="E31" s="38"/>
      <c r="F31" s="39"/>
      <c r="G31" s="39"/>
      <c r="H31" s="39"/>
      <c r="I31" s="39"/>
      <c r="J31" s="39"/>
      <c r="K31" s="38"/>
      <c r="L31" s="38"/>
      <c r="M31" s="38"/>
      <c r="N31" s="38"/>
    </row>
    <row r="32" spans="1:14" x14ac:dyDescent="0.3">
      <c r="A32" s="1"/>
      <c r="B32" s="20" t="s">
        <v>46</v>
      </c>
      <c r="C32" s="23">
        <v>7.0000000000000007E-2</v>
      </c>
      <c r="D32" s="43">
        <f>$D$36*C32</f>
        <v>264.60985748399997</v>
      </c>
      <c r="E32" s="38"/>
      <c r="F32" s="39" t="s">
        <v>46</v>
      </c>
      <c r="G32" s="39"/>
      <c r="H32" s="45" t="s">
        <v>47</v>
      </c>
      <c r="I32" s="39" t="s">
        <v>46</v>
      </c>
      <c r="J32" s="44" t="s">
        <v>48</v>
      </c>
      <c r="K32" s="38"/>
      <c r="L32" s="38"/>
      <c r="M32" s="38"/>
      <c r="N32" s="38"/>
    </row>
    <row r="33" spans="1:14" ht="43.2" customHeight="1" x14ac:dyDescent="0.3">
      <c r="A33" s="1"/>
      <c r="B33" s="2" t="s">
        <v>49</v>
      </c>
      <c r="C33" s="23">
        <v>0.21</v>
      </c>
      <c r="D33" s="43">
        <f>$D$36*C33</f>
        <v>793.82957245199987</v>
      </c>
      <c r="E33" s="38"/>
      <c r="F33" s="39" t="s">
        <v>49</v>
      </c>
      <c r="G33" s="39"/>
      <c r="H33" s="3">
        <v>6.25E-2</v>
      </c>
      <c r="I33" s="39" t="s">
        <v>49</v>
      </c>
      <c r="J33" s="23">
        <v>0.1</v>
      </c>
      <c r="K33" s="38"/>
      <c r="L33" s="38"/>
      <c r="M33" s="38"/>
      <c r="N33" s="38"/>
    </row>
    <row r="34" spans="1:14" ht="28.8" customHeight="1" x14ac:dyDescent="0.3">
      <c r="A34" s="1"/>
      <c r="B34" s="2" t="s">
        <v>50</v>
      </c>
      <c r="C34" s="23">
        <v>0.66</v>
      </c>
      <c r="D34" s="43">
        <f>$D$36*C34</f>
        <v>2494.892941992</v>
      </c>
      <c r="E34" s="38"/>
      <c r="F34" s="39" t="s">
        <v>50</v>
      </c>
      <c r="G34" s="39"/>
      <c r="H34" s="45" t="s">
        <v>51</v>
      </c>
      <c r="I34" s="39" t="s">
        <v>50</v>
      </c>
      <c r="J34" s="23">
        <v>0.01</v>
      </c>
      <c r="K34" s="38"/>
      <c r="L34" s="38"/>
      <c r="M34" s="38"/>
      <c r="N34" s="38"/>
    </row>
    <row r="35" spans="1:14" ht="43.2" customHeight="1" x14ac:dyDescent="0.3">
      <c r="A35" s="1"/>
      <c r="B35" s="7" t="s">
        <v>52</v>
      </c>
      <c r="C35" s="29">
        <v>0.06</v>
      </c>
      <c r="D35" s="43">
        <f>$D$36*C35</f>
        <v>226.80844927199996</v>
      </c>
      <c r="E35" s="38"/>
      <c r="F35" s="39" t="s">
        <v>52</v>
      </c>
      <c r="G35" s="39"/>
      <c r="H35" s="3">
        <v>0.12</v>
      </c>
      <c r="I35" s="39" t="s">
        <v>52</v>
      </c>
      <c r="J35" s="23">
        <v>0</v>
      </c>
      <c r="K35" s="38"/>
      <c r="L35" s="38"/>
      <c r="M35" s="38"/>
      <c r="N35" s="38"/>
    </row>
    <row r="36" spans="1:14" ht="43.2" customHeight="1" x14ac:dyDescent="0.3">
      <c r="A36" s="1"/>
      <c r="B36" s="6" t="s">
        <v>53</v>
      </c>
      <c r="C36" s="39"/>
      <c r="D36" s="51">
        <f>F12</f>
        <v>3780.1408211999997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3">
      <c r="A37" s="1"/>
      <c r="B37" s="2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ht="19.95" customHeight="1" x14ac:dyDescent="0.3">
      <c r="A38" s="1"/>
      <c r="B38" s="19" t="s">
        <v>54</v>
      </c>
      <c r="C38" s="4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</row>
    <row r="39" spans="1:14" x14ac:dyDescent="0.3">
      <c r="A39" s="1"/>
      <c r="B39" s="2"/>
      <c r="C39" s="39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3">
      <c r="A40" s="1"/>
      <c r="B40" s="20" t="s">
        <v>55</v>
      </c>
      <c r="C40" s="39"/>
      <c r="D40" s="38"/>
      <c r="E40" s="38"/>
      <c r="F40" s="40" t="s">
        <v>56</v>
      </c>
      <c r="G40" s="39"/>
      <c r="H40" s="39"/>
      <c r="I40" s="38"/>
      <c r="J40" s="38"/>
      <c r="K40" s="38"/>
      <c r="L40" s="38"/>
      <c r="M40" s="38"/>
      <c r="N40" s="38"/>
    </row>
    <row r="41" spans="1:14" ht="43.2" customHeight="1" x14ac:dyDescent="0.3">
      <c r="A41" s="1"/>
      <c r="B41" s="2" t="s">
        <v>49</v>
      </c>
      <c r="C41" s="43">
        <f>D33</f>
        <v>793.82957245199987</v>
      </c>
      <c r="D41" s="38"/>
      <c r="E41" s="38"/>
      <c r="F41" s="39" t="s">
        <v>57</v>
      </c>
      <c r="G41" s="39"/>
      <c r="H41" s="43">
        <f>F9</f>
        <v>5250.1955849999995</v>
      </c>
      <c r="I41" s="38"/>
      <c r="J41" s="38"/>
      <c r="K41" s="38"/>
      <c r="L41" s="38"/>
      <c r="M41" s="38"/>
      <c r="N41" s="38"/>
    </row>
    <row r="42" spans="1:14" ht="43.2" customHeight="1" x14ac:dyDescent="0.3">
      <c r="A42" s="1"/>
      <c r="B42" s="2" t="s">
        <v>50</v>
      </c>
      <c r="C42" s="43">
        <f>D34</f>
        <v>2494.892941992</v>
      </c>
      <c r="D42" s="38"/>
      <c r="E42" s="38"/>
      <c r="F42" s="39" t="s">
        <v>58</v>
      </c>
      <c r="G42" s="39"/>
      <c r="H42" s="43">
        <f>C22</f>
        <v>1150</v>
      </c>
      <c r="I42" s="38"/>
      <c r="J42" s="38"/>
      <c r="K42" s="38"/>
      <c r="L42" s="38"/>
      <c r="M42" s="38"/>
      <c r="N42" s="38"/>
    </row>
    <row r="43" spans="1:14" ht="43.2" customHeight="1" x14ac:dyDescent="0.3">
      <c r="A43" s="1"/>
      <c r="B43" s="2" t="s">
        <v>52</v>
      </c>
      <c r="C43" s="43">
        <f>D35</f>
        <v>226.80844927199996</v>
      </c>
      <c r="D43" s="38"/>
      <c r="E43" s="38"/>
      <c r="F43" s="39" t="s">
        <v>59</v>
      </c>
      <c r="G43" s="39"/>
      <c r="H43" s="43">
        <f>H41*I10</f>
        <v>15.750586754999999</v>
      </c>
      <c r="I43" s="38"/>
      <c r="J43" s="38"/>
      <c r="K43" s="38"/>
      <c r="L43" s="38"/>
      <c r="M43" s="38"/>
      <c r="N43" s="38"/>
    </row>
    <row r="44" spans="1:14" ht="57.6" customHeight="1" x14ac:dyDescent="0.3">
      <c r="A44" s="1"/>
      <c r="B44" s="7" t="s">
        <v>60</v>
      </c>
      <c r="C44" s="54">
        <f>C45-C41-C42-C43</f>
        <v>2972.1173203569992</v>
      </c>
      <c r="D44" s="38"/>
      <c r="E44" s="38"/>
      <c r="F44" s="39" t="s">
        <v>61</v>
      </c>
      <c r="G44" s="39"/>
      <c r="H44" s="43">
        <f>F12*I11</f>
        <v>56.70211231799999</v>
      </c>
      <c r="I44" s="38"/>
      <c r="J44" s="38"/>
      <c r="K44" s="38"/>
      <c r="L44" s="38"/>
      <c r="M44" s="38"/>
      <c r="N44" s="38"/>
    </row>
    <row r="45" spans="1:14" ht="43.2" customHeight="1" x14ac:dyDescent="0.3">
      <c r="A45" s="1"/>
      <c r="B45" s="6" t="s">
        <v>62</v>
      </c>
      <c r="C45" s="51">
        <f>H46</f>
        <v>6487.6482840729996</v>
      </c>
      <c r="D45" s="38"/>
      <c r="E45" s="38"/>
      <c r="F45" s="53" t="s">
        <v>19</v>
      </c>
      <c r="G45" s="53"/>
      <c r="H45" s="54">
        <f>I12</f>
        <v>15</v>
      </c>
      <c r="I45" s="38"/>
      <c r="J45" s="38"/>
      <c r="K45" s="38"/>
      <c r="L45" s="38"/>
      <c r="M45" s="38"/>
      <c r="N45" s="38"/>
    </row>
    <row r="46" spans="1:14" ht="28.8" customHeight="1" x14ac:dyDescent="0.3">
      <c r="A46" s="1"/>
      <c r="B46" s="2"/>
      <c r="C46" s="39"/>
      <c r="D46" s="38"/>
      <c r="E46" s="38"/>
      <c r="F46" s="40" t="s">
        <v>63</v>
      </c>
      <c r="G46" s="40"/>
      <c r="H46" s="51">
        <f>SUM(H41:H45)</f>
        <v>6487.6482840729996</v>
      </c>
      <c r="I46" s="38"/>
      <c r="J46" s="38"/>
      <c r="K46" s="38"/>
      <c r="L46" s="38"/>
      <c r="M46" s="38"/>
      <c r="N46" s="38"/>
    </row>
    <row r="47" spans="1:14" x14ac:dyDescent="0.3">
      <c r="A47" s="1"/>
      <c r="B47" s="2"/>
      <c r="C47" s="39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ht="19.95" customHeight="1" x14ac:dyDescent="0.3">
      <c r="A48" s="1"/>
      <c r="B48" s="176" t="s">
        <v>64</v>
      </c>
      <c r="C48" s="17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spans="1:14" x14ac:dyDescent="0.3">
      <c r="A49" s="1"/>
      <c r="B49" s="2"/>
      <c r="C49" s="39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ht="43.2" customHeight="1" x14ac:dyDescent="0.3">
      <c r="A50" s="1"/>
      <c r="B50" s="20" t="s">
        <v>65</v>
      </c>
      <c r="C50" s="39"/>
      <c r="D50" s="38"/>
      <c r="E50" s="38"/>
      <c r="F50" s="40" t="s">
        <v>66</v>
      </c>
      <c r="G50" s="39"/>
      <c r="H50" s="38"/>
      <c r="I50" s="38"/>
      <c r="J50" s="38"/>
      <c r="K50" s="38"/>
      <c r="L50" s="38"/>
      <c r="M50" s="38"/>
      <c r="N50" s="38"/>
    </row>
    <row r="51" spans="1:14" ht="43.2" customHeight="1" x14ac:dyDescent="0.3">
      <c r="A51" s="1"/>
      <c r="B51" s="2" t="s">
        <v>10</v>
      </c>
      <c r="C51" s="43">
        <f>F9</f>
        <v>5250.1955849999995</v>
      </c>
      <c r="D51" s="38"/>
      <c r="E51" s="38"/>
      <c r="F51" s="39" t="s">
        <v>67</v>
      </c>
      <c r="G51" s="23">
        <v>0.1</v>
      </c>
      <c r="H51" s="38"/>
      <c r="I51" s="38"/>
      <c r="J51" s="38"/>
      <c r="K51" s="38"/>
      <c r="L51" s="38"/>
      <c r="M51" s="38"/>
      <c r="N51" s="38"/>
    </row>
    <row r="52" spans="1:14" ht="57.6" customHeight="1" x14ac:dyDescent="0.3">
      <c r="A52" s="1"/>
      <c r="B52" s="2" t="s">
        <v>68</v>
      </c>
      <c r="C52" s="43">
        <f>-F141</f>
        <v>-1692</v>
      </c>
      <c r="D52" s="38"/>
      <c r="E52" s="38"/>
      <c r="F52" s="39" t="s">
        <v>69</v>
      </c>
      <c r="G52" s="43">
        <f>G51*F110</f>
        <v>198</v>
      </c>
      <c r="H52" s="38"/>
      <c r="I52" s="38"/>
      <c r="J52" s="38"/>
      <c r="K52" s="38"/>
      <c r="L52" s="38"/>
      <c r="M52" s="38"/>
      <c r="N52" s="38"/>
    </row>
    <row r="53" spans="1:14" ht="72" customHeight="1" x14ac:dyDescent="0.3">
      <c r="A53" s="1"/>
      <c r="B53" s="7" t="s">
        <v>70</v>
      </c>
      <c r="C53" s="54">
        <f>F111</f>
        <v>1150</v>
      </c>
      <c r="D53" s="38"/>
      <c r="E53" s="38"/>
      <c r="F53" s="39" t="s">
        <v>71</v>
      </c>
      <c r="G53" s="30">
        <v>8</v>
      </c>
      <c r="H53" s="38"/>
      <c r="I53" s="38"/>
      <c r="J53" s="38"/>
      <c r="K53" s="38"/>
      <c r="L53" s="38"/>
      <c r="M53" s="38"/>
      <c r="N53" s="38"/>
    </row>
    <row r="54" spans="1:14" ht="72" customHeight="1" x14ac:dyDescent="0.3">
      <c r="A54" s="1"/>
      <c r="B54" s="6" t="s">
        <v>72</v>
      </c>
      <c r="C54" s="51">
        <f>SUM(C51:C53)</f>
        <v>4708.1955849999995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</row>
    <row r="55" spans="1:14" ht="43.2" customHeight="1" x14ac:dyDescent="0.3">
      <c r="A55" s="1"/>
      <c r="B55" s="2" t="s">
        <v>73</v>
      </c>
      <c r="C55" s="43">
        <f>-G52</f>
        <v>-198</v>
      </c>
      <c r="D55" s="38"/>
      <c r="E55" s="38"/>
      <c r="F55" s="40" t="s">
        <v>74</v>
      </c>
      <c r="G55" s="39"/>
      <c r="H55" s="38"/>
      <c r="I55" s="38"/>
      <c r="J55" s="38"/>
      <c r="K55" s="38"/>
      <c r="L55" s="38"/>
      <c r="M55" s="38"/>
      <c r="N55" s="38"/>
    </row>
    <row r="56" spans="1:14" ht="72" customHeight="1" x14ac:dyDescent="0.3">
      <c r="A56" s="1"/>
      <c r="B56" s="2" t="s">
        <v>75</v>
      </c>
      <c r="C56" s="43">
        <f>-G58</f>
        <v>-1177.0488962499999</v>
      </c>
      <c r="D56" s="38"/>
      <c r="E56" s="38"/>
      <c r="F56" s="39" t="s">
        <v>76</v>
      </c>
      <c r="G56" s="43">
        <f>C54</f>
        <v>4708.1955849999995</v>
      </c>
      <c r="H56" s="38"/>
      <c r="I56" s="38"/>
      <c r="J56" s="38"/>
      <c r="K56" s="38"/>
      <c r="L56" s="38"/>
      <c r="M56" s="38"/>
      <c r="N56" s="38"/>
    </row>
    <row r="57" spans="1:14" ht="72" customHeight="1" x14ac:dyDescent="0.3">
      <c r="A57" s="1"/>
      <c r="B57" s="2" t="s">
        <v>77</v>
      </c>
      <c r="C57" s="43">
        <f>-F130</f>
        <v>-300</v>
      </c>
      <c r="D57" s="38"/>
      <c r="E57" s="38"/>
      <c r="F57" s="39" t="s">
        <v>78</v>
      </c>
      <c r="G57" s="23">
        <v>0.25</v>
      </c>
      <c r="H57" s="38"/>
      <c r="I57" s="38"/>
      <c r="J57" s="38"/>
      <c r="K57" s="38"/>
      <c r="L57" s="38"/>
      <c r="M57" s="38"/>
      <c r="N57" s="38"/>
    </row>
    <row r="58" spans="1:14" ht="72" customHeight="1" x14ac:dyDescent="0.3">
      <c r="A58" s="1"/>
      <c r="B58" s="7" t="s">
        <v>79</v>
      </c>
      <c r="C58" s="54">
        <f>(G58+G52)*F70</f>
        <v>1140.1905447704999</v>
      </c>
      <c r="D58" s="38"/>
      <c r="E58" s="38"/>
      <c r="F58" s="39" t="s">
        <v>80</v>
      </c>
      <c r="G58" s="43">
        <f>G56*G57</f>
        <v>1177.0488962499999</v>
      </c>
      <c r="H58" s="38"/>
      <c r="I58" s="38"/>
      <c r="J58" s="38"/>
      <c r="K58" s="38"/>
      <c r="L58" s="38"/>
      <c r="M58" s="38"/>
      <c r="N58" s="38"/>
    </row>
    <row r="59" spans="1:14" ht="57.6" customHeight="1" x14ac:dyDescent="0.3">
      <c r="A59" s="1"/>
      <c r="B59" s="6" t="s">
        <v>81</v>
      </c>
      <c r="C59" s="104">
        <f>SUM(C54:C58)</f>
        <v>4173.3372335204995</v>
      </c>
      <c r="D59" s="38"/>
      <c r="E59" s="38"/>
      <c r="F59" s="39" t="s">
        <v>82</v>
      </c>
      <c r="G59" s="30">
        <v>5</v>
      </c>
      <c r="H59" s="38"/>
      <c r="I59" s="38"/>
      <c r="J59" s="38"/>
      <c r="K59" s="38"/>
      <c r="L59" s="38"/>
      <c r="M59" s="38"/>
      <c r="N59" s="38"/>
    </row>
    <row r="60" spans="1:14" x14ac:dyDescent="0.3">
      <c r="A60" s="1"/>
      <c r="B60" s="2"/>
      <c r="C60" s="39"/>
      <c r="D60" s="38"/>
      <c r="E60" s="38"/>
      <c r="F60" s="39"/>
      <c r="G60" s="39"/>
      <c r="H60" s="38"/>
      <c r="I60" s="38"/>
      <c r="J60" s="38"/>
      <c r="K60" s="38"/>
      <c r="L60" s="38"/>
      <c r="M60" s="38"/>
      <c r="N60" s="38"/>
    </row>
    <row r="61" spans="1:14" ht="72" customHeight="1" x14ac:dyDescent="0.3">
      <c r="A61" s="1"/>
      <c r="B61" s="20" t="s">
        <v>83</v>
      </c>
      <c r="C61" s="30">
        <v>5</v>
      </c>
      <c r="D61" s="38"/>
      <c r="E61" s="38"/>
      <c r="F61" s="40" t="s">
        <v>84</v>
      </c>
      <c r="G61" s="43">
        <f>C58</f>
        <v>1140.1905447704999</v>
      </c>
      <c r="H61" s="38"/>
      <c r="I61" s="38"/>
      <c r="J61" s="38"/>
      <c r="K61" s="38"/>
      <c r="L61" s="38"/>
      <c r="M61" s="38"/>
      <c r="N61" s="38"/>
    </row>
    <row r="62" spans="1:14" x14ac:dyDescent="0.3">
      <c r="A62" s="1"/>
      <c r="B62" s="1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</row>
    <row r="63" spans="1:14" ht="19.95" customHeight="1" x14ac:dyDescent="0.3">
      <c r="A63" s="1"/>
      <c r="B63" s="18" t="s">
        <v>85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</row>
    <row r="64" spans="1:14" ht="14.4" customHeight="1" x14ac:dyDescent="0.3">
      <c r="A64" s="1"/>
      <c r="B64" s="1"/>
      <c r="C64" s="38"/>
      <c r="D64" s="178" t="s">
        <v>86</v>
      </c>
      <c r="E64" s="179"/>
      <c r="F64" s="179"/>
      <c r="G64" s="178" t="s">
        <v>87</v>
      </c>
      <c r="H64" s="179"/>
      <c r="I64" s="179"/>
      <c r="J64" s="178" t="s">
        <v>88</v>
      </c>
      <c r="K64" s="179"/>
      <c r="L64" s="179"/>
      <c r="M64" s="179"/>
      <c r="N64" s="179"/>
    </row>
    <row r="65" spans="1:14" x14ac:dyDescent="0.3">
      <c r="A65" s="1"/>
      <c r="B65" s="1"/>
      <c r="C65" s="38"/>
      <c r="D65" s="56">
        <v>2012</v>
      </c>
      <c r="E65" s="56">
        <v>2013</v>
      </c>
      <c r="F65" s="56">
        <v>2014</v>
      </c>
      <c r="G65" s="56" t="s">
        <v>89</v>
      </c>
      <c r="H65" s="56" t="s">
        <v>90</v>
      </c>
      <c r="I65" s="56">
        <v>2014</v>
      </c>
      <c r="J65" s="56">
        <v>2015</v>
      </c>
      <c r="K65" s="56">
        <v>2016</v>
      </c>
      <c r="L65" s="56">
        <v>2017</v>
      </c>
      <c r="M65" s="56">
        <v>2018</v>
      </c>
      <c r="N65" s="56">
        <v>2019</v>
      </c>
    </row>
    <row r="66" spans="1:14" ht="43.2" customHeight="1" x14ac:dyDescent="0.3">
      <c r="A66" s="1"/>
      <c r="B66" s="2" t="s">
        <v>91</v>
      </c>
      <c r="C66" s="38"/>
      <c r="D66" s="31">
        <v>0.11210000000000001</v>
      </c>
      <c r="E66" s="31">
        <v>2.75E-2</v>
      </c>
      <c r="F66" s="31">
        <v>1.7000000000000001E-2</v>
      </c>
      <c r="G66" s="57"/>
      <c r="H66" s="57"/>
      <c r="I66" s="57"/>
      <c r="J66" s="31">
        <v>3.5000000000000003E-2</v>
      </c>
      <c r="K66" s="31">
        <v>2.8000000000000001E-2</v>
      </c>
      <c r="L66" s="31">
        <v>3.2000000000000001E-2</v>
      </c>
      <c r="M66" s="31">
        <v>2.5000000000000001E-2</v>
      </c>
      <c r="N66" s="31">
        <v>2.1999999999999999E-2</v>
      </c>
    </row>
    <row r="67" spans="1:14" ht="28.8" customHeight="1" x14ac:dyDescent="0.3">
      <c r="A67" s="1"/>
      <c r="B67" s="2" t="s">
        <v>92</v>
      </c>
      <c r="C67" s="38"/>
      <c r="D67" s="32">
        <v>0.70069999999999999</v>
      </c>
      <c r="E67" s="32">
        <v>0.69920000000000004</v>
      </c>
      <c r="F67" s="32">
        <v>0.70009999999999994</v>
      </c>
      <c r="G67" s="58"/>
      <c r="H67" s="58"/>
      <c r="I67" s="58"/>
      <c r="J67" s="58">
        <f>AVERAGE($D67:$F67)</f>
        <v>0.70000000000000007</v>
      </c>
      <c r="K67" s="58">
        <f t="shared" ref="K67:N69" si="0">AVERAGE($D67:$F67)</f>
        <v>0.70000000000000007</v>
      </c>
      <c r="L67" s="58">
        <f t="shared" si="0"/>
        <v>0.70000000000000007</v>
      </c>
      <c r="M67" s="58">
        <f t="shared" si="0"/>
        <v>0.70000000000000007</v>
      </c>
      <c r="N67" s="58">
        <f t="shared" si="0"/>
        <v>0.70000000000000007</v>
      </c>
    </row>
    <row r="68" spans="1:14" ht="28.8" customHeight="1" x14ac:dyDescent="0.3">
      <c r="A68" s="1"/>
      <c r="B68" s="2" t="s">
        <v>93</v>
      </c>
      <c r="C68" s="38"/>
      <c r="D68" s="32">
        <v>0.21460000000000001</v>
      </c>
      <c r="E68" s="32">
        <v>0.22</v>
      </c>
      <c r="F68" s="32">
        <v>0.2266</v>
      </c>
      <c r="G68" s="58"/>
      <c r="H68" s="58"/>
      <c r="I68" s="58"/>
      <c r="J68" s="58">
        <f>AVERAGE($D68:$F68)</f>
        <v>0.22040000000000001</v>
      </c>
      <c r="K68" s="58">
        <f t="shared" si="0"/>
        <v>0.22040000000000001</v>
      </c>
      <c r="L68" s="58">
        <f t="shared" si="0"/>
        <v>0.22040000000000001</v>
      </c>
      <c r="M68" s="58">
        <f t="shared" si="0"/>
        <v>0.22040000000000001</v>
      </c>
      <c r="N68" s="58">
        <f t="shared" si="0"/>
        <v>0.22040000000000001</v>
      </c>
    </row>
    <row r="69" spans="1:14" ht="28.8" customHeight="1" x14ac:dyDescent="0.3">
      <c r="A69" s="1"/>
      <c r="B69" s="2" t="s">
        <v>94</v>
      </c>
      <c r="C69" s="38"/>
      <c r="D69" s="32">
        <v>2.1999999999999999E-2</v>
      </c>
      <c r="E69" s="32">
        <v>2.29E-2</v>
      </c>
      <c r="F69" s="32">
        <v>2.46E-2</v>
      </c>
      <c r="G69" s="58"/>
      <c r="H69" s="58"/>
      <c r="I69" s="58"/>
      <c r="J69" s="58">
        <f>AVERAGE($D69:$F69)</f>
        <v>2.3166666666666665E-2</v>
      </c>
      <c r="K69" s="58">
        <f t="shared" si="0"/>
        <v>2.3166666666666665E-2</v>
      </c>
      <c r="L69" s="58">
        <f t="shared" si="0"/>
        <v>2.3166666666666665E-2</v>
      </c>
      <c r="M69" s="58">
        <f t="shared" si="0"/>
        <v>2.3166666666666665E-2</v>
      </c>
      <c r="N69" s="58">
        <f t="shared" si="0"/>
        <v>2.3166666666666665E-2</v>
      </c>
    </row>
    <row r="70" spans="1:14" ht="28.8" customHeight="1" x14ac:dyDescent="0.3">
      <c r="A70" s="1"/>
      <c r="B70" s="2" t="s">
        <v>95</v>
      </c>
      <c r="C70" s="38"/>
      <c r="D70" s="32">
        <v>0.60270000000000001</v>
      </c>
      <c r="E70" s="32">
        <v>0.62029999999999996</v>
      </c>
      <c r="F70" s="32">
        <v>0.82920000000000005</v>
      </c>
      <c r="G70" s="58"/>
      <c r="H70" s="58"/>
      <c r="I70" s="58"/>
      <c r="J70" s="58">
        <f>AVERAGE($D70:$F70)</f>
        <v>0.68406666666666671</v>
      </c>
      <c r="K70" s="32">
        <v>0.68410000000000004</v>
      </c>
      <c r="L70" s="32">
        <v>0.68410000000000004</v>
      </c>
      <c r="M70" s="32">
        <v>0.68410000000000004</v>
      </c>
      <c r="N70" s="32">
        <v>0.68410000000000004</v>
      </c>
    </row>
    <row r="71" spans="1:14" x14ac:dyDescent="0.3">
      <c r="A71" s="1"/>
      <c r="B71" s="2"/>
      <c r="C71" s="38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</row>
    <row r="72" spans="1:14" ht="28.8" customHeight="1" x14ac:dyDescent="0.3">
      <c r="A72" s="1"/>
      <c r="B72" s="2" t="s">
        <v>96</v>
      </c>
      <c r="C72" s="38"/>
      <c r="D72" s="32">
        <v>0.15090000000000001</v>
      </c>
      <c r="E72" s="32">
        <v>0.15379999999999999</v>
      </c>
      <c r="F72" s="32">
        <v>0.16159999999999999</v>
      </c>
      <c r="G72" s="58"/>
      <c r="H72" s="58"/>
      <c r="I72" s="58"/>
      <c r="J72" s="58">
        <f>AVERAGE($D72:$F72)</f>
        <v>0.15543333333333331</v>
      </c>
      <c r="K72" s="58">
        <f>AVERAGE($D72:$F72)</f>
        <v>0.15543333333333331</v>
      </c>
      <c r="L72" s="58">
        <f>AVERAGE($D72:$F72)</f>
        <v>0.15543333333333331</v>
      </c>
      <c r="M72" s="58">
        <f>AVERAGE($D72:$F72)</f>
        <v>0.15543333333333331</v>
      </c>
      <c r="N72" s="58">
        <f>AVERAGE($D72:$F72)</f>
        <v>0.15543333333333331</v>
      </c>
    </row>
    <row r="73" spans="1:14" ht="57.6" customHeight="1" x14ac:dyDescent="0.3">
      <c r="A73" s="1"/>
      <c r="B73" s="2" t="s">
        <v>97</v>
      </c>
      <c r="C73" s="38"/>
      <c r="D73" s="32">
        <v>0.1027</v>
      </c>
      <c r="E73" s="32">
        <v>0.1072</v>
      </c>
      <c r="F73" s="32">
        <v>0.1055</v>
      </c>
      <c r="G73" s="58"/>
      <c r="H73" s="58"/>
      <c r="I73" s="58"/>
      <c r="J73" s="58">
        <f t="shared" ref="J73:N75" si="1">AVERAGE($D73:$F73)</f>
        <v>0.10513333333333334</v>
      </c>
      <c r="K73" s="58">
        <f t="shared" si="1"/>
        <v>0.10513333333333334</v>
      </c>
      <c r="L73" s="58">
        <f t="shared" si="1"/>
        <v>0.10513333333333334</v>
      </c>
      <c r="M73" s="58">
        <f t="shared" si="1"/>
        <v>0.10513333333333334</v>
      </c>
      <c r="N73" s="58">
        <f t="shared" si="1"/>
        <v>0.10513333333333334</v>
      </c>
    </row>
    <row r="74" spans="1:14" ht="43.2" customHeight="1" x14ac:dyDescent="0.3">
      <c r="A74" s="1"/>
      <c r="B74" s="2" t="s">
        <v>98</v>
      </c>
      <c r="C74" s="38"/>
      <c r="D74" s="32">
        <v>0.1363</v>
      </c>
      <c r="E74" s="32">
        <v>0.1411</v>
      </c>
      <c r="F74" s="32">
        <v>0.14460000000000001</v>
      </c>
      <c r="G74" s="58"/>
      <c r="H74" s="58"/>
      <c r="I74" s="58"/>
      <c r="J74" s="58">
        <f t="shared" si="1"/>
        <v>0.14066666666666666</v>
      </c>
      <c r="K74" s="58">
        <f t="shared" si="1"/>
        <v>0.14066666666666666</v>
      </c>
      <c r="L74" s="58">
        <f t="shared" si="1"/>
        <v>0.14066666666666666</v>
      </c>
      <c r="M74" s="58">
        <f t="shared" si="1"/>
        <v>0.14066666666666666</v>
      </c>
      <c r="N74" s="58">
        <f t="shared" si="1"/>
        <v>0.14066666666666666</v>
      </c>
    </row>
    <row r="75" spans="1:14" ht="57.6" customHeight="1" x14ac:dyDescent="0.3">
      <c r="A75" s="1"/>
      <c r="B75" s="2" t="s">
        <v>99</v>
      </c>
      <c r="C75" s="38"/>
      <c r="D75" s="32">
        <v>0.29430000000000001</v>
      </c>
      <c r="E75" s="32">
        <v>0.2989</v>
      </c>
      <c r="F75" s="32">
        <v>0.31019999999999998</v>
      </c>
      <c r="G75" s="58"/>
      <c r="H75" s="58"/>
      <c r="I75" s="58"/>
      <c r="J75" s="58">
        <f t="shared" si="1"/>
        <v>0.30113333333333331</v>
      </c>
      <c r="K75" s="58">
        <f t="shared" si="1"/>
        <v>0.30113333333333331</v>
      </c>
      <c r="L75" s="58">
        <f t="shared" si="1"/>
        <v>0.30113333333333331</v>
      </c>
      <c r="M75" s="58">
        <f t="shared" si="1"/>
        <v>0.30113333333333331</v>
      </c>
      <c r="N75" s="58">
        <f t="shared" si="1"/>
        <v>0.30113333333333331</v>
      </c>
    </row>
    <row r="76" spans="1:14" x14ac:dyDescent="0.3">
      <c r="A76" s="1"/>
      <c r="B76" s="2"/>
      <c r="C76" s="38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spans="1:14" ht="28.8" customHeight="1" x14ac:dyDescent="0.3">
      <c r="A77" s="1"/>
      <c r="B77" s="2" t="s">
        <v>100</v>
      </c>
      <c r="C77" s="38"/>
      <c r="D77" s="32">
        <v>2.1000000000000001E-2</v>
      </c>
      <c r="E77" s="32">
        <v>2.1000000000000001E-2</v>
      </c>
      <c r="F77" s="32">
        <v>0.02</v>
      </c>
      <c r="G77" s="58"/>
      <c r="H77" s="58"/>
      <c r="I77" s="58"/>
      <c r="J77" s="58">
        <f>AVERAGE($D77:$F77)</f>
        <v>2.0666666666666667E-2</v>
      </c>
      <c r="K77" s="58">
        <f>AVERAGE($D77:$F77)</f>
        <v>2.0666666666666667E-2</v>
      </c>
      <c r="L77" s="58">
        <f>AVERAGE($D77:$F77)</f>
        <v>2.0666666666666667E-2</v>
      </c>
      <c r="M77" s="58">
        <f>AVERAGE($D77:$F77)</f>
        <v>2.0666666666666667E-2</v>
      </c>
      <c r="N77" s="58">
        <f>AVERAGE($D77:$F77)</f>
        <v>2.0666666666666667E-2</v>
      </c>
    </row>
    <row r="78" spans="1:14" x14ac:dyDescent="0.3">
      <c r="A78" s="1"/>
      <c r="B78" s="2"/>
      <c r="C78" s="38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</row>
    <row r="79" spans="1:14" ht="19.95" customHeight="1" x14ac:dyDescent="0.3">
      <c r="A79" s="1"/>
      <c r="B79" s="19" t="s">
        <v>101</v>
      </c>
      <c r="C79" s="37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0" spans="1:14" ht="14.4" customHeight="1" x14ac:dyDescent="0.3">
      <c r="A80" s="1"/>
      <c r="B80" s="2"/>
      <c r="C80" s="38"/>
      <c r="D80" s="178" t="s">
        <v>86</v>
      </c>
      <c r="E80" s="179"/>
      <c r="F80" s="179"/>
      <c r="G80" s="178" t="s">
        <v>87</v>
      </c>
      <c r="H80" s="179"/>
      <c r="I80" s="179"/>
      <c r="J80" s="178" t="s">
        <v>88</v>
      </c>
      <c r="K80" s="179"/>
      <c r="L80" s="179"/>
      <c r="M80" s="179"/>
      <c r="N80" s="179"/>
    </row>
    <row r="81" spans="1:14" x14ac:dyDescent="0.3">
      <c r="A81" s="1"/>
      <c r="B81" s="2"/>
      <c r="C81" s="61">
        <v>2011</v>
      </c>
      <c r="D81" s="56">
        <v>2012</v>
      </c>
      <c r="E81" s="56">
        <v>2013</v>
      </c>
      <c r="F81" s="56">
        <v>2014</v>
      </c>
      <c r="G81" s="56" t="s">
        <v>89</v>
      </c>
      <c r="H81" s="56" t="s">
        <v>90</v>
      </c>
      <c r="I81" s="56">
        <v>2014</v>
      </c>
      <c r="J81" s="56">
        <v>2015</v>
      </c>
      <c r="K81" s="56">
        <v>2016</v>
      </c>
      <c r="L81" s="56">
        <v>2017</v>
      </c>
      <c r="M81" s="56">
        <v>2018</v>
      </c>
      <c r="N81" s="56">
        <v>2019</v>
      </c>
    </row>
    <row r="82" spans="1:14" x14ac:dyDescent="0.3">
      <c r="A82" s="1"/>
      <c r="B82" s="2" t="s">
        <v>102</v>
      </c>
      <c r="C82" s="33">
        <v>6121</v>
      </c>
      <c r="D82" s="34">
        <v>6807</v>
      </c>
      <c r="E82" s="34">
        <v>6994</v>
      </c>
      <c r="F82" s="34">
        <v>7113</v>
      </c>
      <c r="G82" s="62"/>
      <c r="H82" s="62"/>
      <c r="I82" s="62"/>
      <c r="J82" s="63">
        <f>F82*(1+J66)</f>
        <v>7361.954999999999</v>
      </c>
      <c r="K82" s="63">
        <f>J82*(1+K66)</f>
        <v>7568.0897399999994</v>
      </c>
      <c r="L82" s="63">
        <f>K82*(1+L66)</f>
        <v>7810.2686116799996</v>
      </c>
      <c r="M82" s="63">
        <f>L82*(1+M66)</f>
        <v>8005.5253269719988</v>
      </c>
      <c r="N82" s="63">
        <f>M82*(1+N66)</f>
        <v>8181.6468841653832</v>
      </c>
    </row>
    <row r="83" spans="1:14" ht="43.2" customHeight="1" x14ac:dyDescent="0.3">
      <c r="A83" s="1"/>
      <c r="B83" s="2" t="s">
        <v>103</v>
      </c>
      <c r="C83" s="38"/>
      <c r="D83" s="34">
        <v>4770</v>
      </c>
      <c r="E83" s="35">
        <v>4890</v>
      </c>
      <c r="F83" s="35">
        <v>4980</v>
      </c>
      <c r="G83" s="64"/>
      <c r="H83" s="64"/>
      <c r="I83" s="64"/>
      <c r="J83" s="65">
        <f>J82*AVERAGE($D$67:$F$67)</f>
        <v>5153.3684999999996</v>
      </c>
      <c r="K83" s="65">
        <f>K82*AVERAGE($D$67:$F$67)</f>
        <v>5297.6628179999998</v>
      </c>
      <c r="L83" s="65">
        <f>L82*AVERAGE($D$67:$F$67)</f>
        <v>5467.1880281760004</v>
      </c>
      <c r="M83" s="65">
        <f>M82*AVERAGE($D$67:$F$67)</f>
        <v>5603.8677288803992</v>
      </c>
      <c r="N83" s="65">
        <f>N82*AVERAGE($D$67:$F$67)</f>
        <v>5727.1528189157689</v>
      </c>
    </row>
    <row r="84" spans="1:14" ht="28.8" customHeight="1" x14ac:dyDescent="0.3">
      <c r="A84" s="1"/>
      <c r="B84" s="6" t="s">
        <v>104</v>
      </c>
      <c r="C84" s="38"/>
      <c r="D84" s="36">
        <v>2037</v>
      </c>
      <c r="E84" s="36">
        <v>2104</v>
      </c>
      <c r="F84" s="36">
        <v>2133</v>
      </c>
      <c r="G84" s="64"/>
      <c r="H84" s="64"/>
      <c r="I84" s="64"/>
      <c r="J84" s="67">
        <f>J82-J83</f>
        <v>2208.5864999999994</v>
      </c>
      <c r="K84" s="67">
        <f>K82-K83</f>
        <v>2270.4269219999996</v>
      </c>
      <c r="L84" s="67">
        <f>L82-L83</f>
        <v>2343.0805835039992</v>
      </c>
      <c r="M84" s="67">
        <f>M82-M83</f>
        <v>2401.6575980915995</v>
      </c>
      <c r="N84" s="67">
        <f>N82-N83</f>
        <v>2454.4940652496143</v>
      </c>
    </row>
    <row r="85" spans="1:14" x14ac:dyDescent="0.3">
      <c r="A85" s="1"/>
      <c r="B85" s="2"/>
      <c r="C85" s="38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</row>
    <row r="86" spans="1:14" ht="28.8" customHeight="1" x14ac:dyDescent="0.3">
      <c r="A86" s="1"/>
      <c r="B86" s="2" t="s">
        <v>105</v>
      </c>
      <c r="C86" s="38"/>
      <c r="D86" s="35">
        <v>1461</v>
      </c>
      <c r="E86" s="35">
        <v>1539</v>
      </c>
      <c r="F86" s="35">
        <v>1612</v>
      </c>
      <c r="G86" s="64"/>
      <c r="H86" s="64"/>
      <c r="I86" s="64"/>
      <c r="J86" s="65">
        <f>J82*AVERAGE($D$68:$F$68)</f>
        <v>1622.5748819999999</v>
      </c>
      <c r="K86" s="65">
        <f>K82*AVERAGE($D$68:$F$68)</f>
        <v>1668.006978696</v>
      </c>
      <c r="L86" s="65">
        <f>L82*AVERAGE($D$68:$F$68)</f>
        <v>1721.383202014272</v>
      </c>
      <c r="M86" s="65">
        <f>M82*AVERAGE($D$68:$F$68)</f>
        <v>1764.4177820646287</v>
      </c>
      <c r="N86" s="65">
        <f>N82*AVERAGE($D$68:$F$68)</f>
        <v>1803.2349732700507</v>
      </c>
    </row>
    <row r="87" spans="1:14" ht="57.6" customHeight="1" x14ac:dyDescent="0.3">
      <c r="A87" s="1"/>
      <c r="B87" s="2" t="s">
        <v>106</v>
      </c>
      <c r="C87" s="38"/>
      <c r="D87" s="35">
        <v>150</v>
      </c>
      <c r="E87" s="35">
        <v>160</v>
      </c>
      <c r="F87" s="35">
        <v>175</v>
      </c>
      <c r="G87" s="64"/>
      <c r="H87" s="64"/>
      <c r="I87" s="64"/>
      <c r="J87" s="65">
        <f>J82*AVERAGE($D$69:$F$69)</f>
        <v>170.55195749999996</v>
      </c>
      <c r="K87" s="65">
        <f>K82*AVERAGE($D$69:$F$69)</f>
        <v>175.32741230999997</v>
      </c>
      <c r="L87" s="65">
        <f>L82*AVERAGE($D$69:$F$69)</f>
        <v>180.93788950391999</v>
      </c>
      <c r="M87" s="65">
        <f>M82*AVERAGE($D$69:$F$69)</f>
        <v>185.46133674151795</v>
      </c>
      <c r="N87" s="65">
        <f>N82*AVERAGE($D$69:$F$69)</f>
        <v>189.54148614983137</v>
      </c>
    </row>
    <row r="88" spans="1:14" ht="57.6" customHeight="1" x14ac:dyDescent="0.3">
      <c r="A88" s="1"/>
      <c r="B88" s="2" t="s">
        <v>107</v>
      </c>
      <c r="C88" s="38"/>
      <c r="D88" s="64" t="s">
        <v>108</v>
      </c>
      <c r="E88" s="64" t="s">
        <v>108</v>
      </c>
      <c r="F88" s="64" t="s">
        <v>108</v>
      </c>
      <c r="G88" s="64"/>
      <c r="H88" s="64"/>
      <c r="I88" s="64"/>
      <c r="J88" s="65">
        <f>G52/G53</f>
        <v>24.75</v>
      </c>
      <c r="K88" s="65">
        <f>G52/G53</f>
        <v>24.75</v>
      </c>
      <c r="L88" s="65">
        <f>G52/G53</f>
        <v>24.75</v>
      </c>
      <c r="M88" s="65">
        <f>G52/G53</f>
        <v>24.75</v>
      </c>
      <c r="N88" s="65">
        <f>G52/G53</f>
        <v>24.75</v>
      </c>
    </row>
    <row r="89" spans="1:14" ht="72" customHeight="1" x14ac:dyDescent="0.3">
      <c r="A89" s="1"/>
      <c r="B89" s="2" t="s">
        <v>109</v>
      </c>
      <c r="C89" s="38"/>
      <c r="D89" s="64" t="s">
        <v>108</v>
      </c>
      <c r="E89" s="64" t="s">
        <v>108</v>
      </c>
      <c r="F89" s="64" t="s">
        <v>108</v>
      </c>
      <c r="G89" s="64"/>
      <c r="H89" s="64"/>
      <c r="I89" s="64"/>
      <c r="J89" s="65">
        <f>G58/G59</f>
        <v>235.40977924999999</v>
      </c>
      <c r="K89" s="65">
        <f>G58/G59</f>
        <v>235.40977924999999</v>
      </c>
      <c r="L89" s="65">
        <f>G58/G59</f>
        <v>235.40977924999999</v>
      </c>
      <c r="M89" s="65">
        <f>G58/G59</f>
        <v>235.40977924999999</v>
      </c>
      <c r="N89" s="65">
        <f>G58/G59</f>
        <v>235.40977924999999</v>
      </c>
    </row>
    <row r="90" spans="1:14" ht="57.6" customHeight="1" x14ac:dyDescent="0.3">
      <c r="A90" s="1"/>
      <c r="B90" s="2" t="s">
        <v>110</v>
      </c>
      <c r="C90" s="38"/>
      <c r="D90" s="64" t="s">
        <v>108</v>
      </c>
      <c r="E90" s="64" t="s">
        <v>108</v>
      </c>
      <c r="F90" s="64" t="s">
        <v>108</v>
      </c>
      <c r="G90" s="64"/>
      <c r="H90" s="64"/>
      <c r="I90" s="64"/>
      <c r="J90" s="65">
        <f>$H$44/5</f>
        <v>11.340422463599998</v>
      </c>
      <c r="K90" s="65">
        <f>$H$44/5</f>
        <v>11.340422463599998</v>
      </c>
      <c r="L90" s="65">
        <f>$H$44/5</f>
        <v>11.340422463599998</v>
      </c>
      <c r="M90" s="65">
        <f>$H$44/5</f>
        <v>11.340422463599998</v>
      </c>
      <c r="N90" s="65">
        <f>$H$44/5</f>
        <v>11.340422463599998</v>
      </c>
    </row>
    <row r="91" spans="1:14" ht="28.8" customHeight="1" x14ac:dyDescent="0.3">
      <c r="A91" s="1"/>
      <c r="B91" s="6" t="s">
        <v>111</v>
      </c>
      <c r="C91" s="38"/>
      <c r="D91" s="36">
        <v>426</v>
      </c>
      <c r="E91" s="36">
        <v>405</v>
      </c>
      <c r="F91" s="36">
        <v>346</v>
      </c>
      <c r="G91" s="64"/>
      <c r="H91" s="64"/>
      <c r="I91" s="64"/>
      <c r="J91" s="67">
        <f>J84-J86-J87-J88-J89-J90</f>
        <v>143.95945878639961</v>
      </c>
      <c r="K91" s="67">
        <f>K84-K86-K87-K88-K89-K90</f>
        <v>155.59232928039964</v>
      </c>
      <c r="L91" s="67">
        <f>L84-L86-L87-L88-L89-L90</f>
        <v>169.25929027220715</v>
      </c>
      <c r="M91" s="67">
        <f>M84-M86-M87-M88-M89-M90</f>
        <v>180.27827757185295</v>
      </c>
      <c r="N91" s="67">
        <f>N84-N86-N87-N88-N89-N90</f>
        <v>190.21740411613231</v>
      </c>
    </row>
    <row r="92" spans="1:14" x14ac:dyDescent="0.3">
      <c r="A92" s="1"/>
      <c r="B92" s="2"/>
      <c r="C92" s="38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</row>
    <row r="93" spans="1:14" ht="43.2" customHeight="1" x14ac:dyDescent="0.3">
      <c r="A93" s="1"/>
      <c r="B93" s="2" t="s">
        <v>112</v>
      </c>
      <c r="C93" s="38"/>
      <c r="D93" s="35">
        <v>-56</v>
      </c>
      <c r="E93" s="35">
        <v>-60</v>
      </c>
      <c r="F93" s="35">
        <v>-65</v>
      </c>
      <c r="G93" s="64"/>
      <c r="H93" s="64"/>
      <c r="I93" s="64"/>
      <c r="J93" s="65">
        <f ca="1">IF($L$8=1,J195,0)</f>
        <v>-169.03242569376246</v>
      </c>
      <c r="K93" s="65">
        <f ca="1">IF($L$8=1,K195,0)</f>
        <v>-150.35556827484058</v>
      </c>
      <c r="L93" s="65">
        <f ca="1">IF($L$8=1,L195,0)</f>
        <v>-141.98397676927829</v>
      </c>
      <c r="M93" s="65">
        <f ca="1">IF($L$8=1,M195,0)</f>
        <v>-143.39015900340323</v>
      </c>
      <c r="N93" s="65">
        <f ca="1">IF($L$8=1,N195,0)</f>
        <v>-135.13383669694267</v>
      </c>
    </row>
    <row r="94" spans="1:14" ht="28.8" customHeight="1" x14ac:dyDescent="0.3">
      <c r="A94" s="1"/>
      <c r="B94" s="6" t="s">
        <v>113</v>
      </c>
      <c r="C94" s="38"/>
      <c r="D94" s="36">
        <v>370</v>
      </c>
      <c r="E94" s="36">
        <v>345</v>
      </c>
      <c r="F94" s="36">
        <v>281</v>
      </c>
      <c r="G94" s="64"/>
      <c r="H94" s="64"/>
      <c r="I94" s="64"/>
      <c r="J94" s="67">
        <f ca="1">J91+J93</f>
        <v>-25.072966907362854</v>
      </c>
      <c r="K94" s="67">
        <f ca="1">K91+K93</f>
        <v>5.2367610055590603</v>
      </c>
      <c r="L94" s="67">
        <f ca="1">L91+L93</f>
        <v>27.275313502928867</v>
      </c>
      <c r="M94" s="67">
        <f ca="1">M91+M93</f>
        <v>36.888118568449727</v>
      </c>
      <c r="N94" s="67">
        <f ca="1">N91+N93</f>
        <v>55.083567419189649</v>
      </c>
    </row>
    <row r="95" spans="1:14" ht="43.2" customHeight="1" x14ac:dyDescent="0.3">
      <c r="A95" s="1"/>
      <c r="B95" s="2" t="s">
        <v>114</v>
      </c>
      <c r="C95" s="38"/>
      <c r="D95" s="35">
        <v>223</v>
      </c>
      <c r="E95" s="35">
        <v>214</v>
      </c>
      <c r="F95" s="35">
        <v>233</v>
      </c>
      <c r="G95" s="64"/>
      <c r="H95" s="64"/>
      <c r="I95" s="64"/>
      <c r="J95" s="65">
        <f ca="1">J94*J70</f>
        <v>-17.151580895763352</v>
      </c>
      <c r="K95" s="65">
        <f ca="1">K94*K70</f>
        <v>3.5824682039029532</v>
      </c>
      <c r="L95" s="65">
        <f ca="1">L94*L70</f>
        <v>18.659041967353637</v>
      </c>
      <c r="M95" s="65">
        <f ca="1">M94*M70</f>
        <v>25.23516191267646</v>
      </c>
      <c r="N95" s="65">
        <f ca="1">N94*N70</f>
        <v>37.682668471467643</v>
      </c>
    </row>
    <row r="96" spans="1:14" x14ac:dyDescent="0.3">
      <c r="A96" s="1"/>
      <c r="B96" s="2"/>
      <c r="C96" s="38"/>
      <c r="D96" s="64"/>
      <c r="E96" s="64"/>
      <c r="F96" s="64"/>
      <c r="G96" s="64"/>
      <c r="H96" s="64"/>
      <c r="I96" s="64"/>
      <c r="J96" s="65"/>
      <c r="K96" s="65"/>
      <c r="L96" s="65"/>
      <c r="M96" s="65"/>
      <c r="N96" s="65"/>
    </row>
    <row r="97" spans="1:14" ht="28.8" customHeight="1" x14ac:dyDescent="0.3">
      <c r="A97" s="1"/>
      <c r="B97" s="6" t="s">
        <v>115</v>
      </c>
      <c r="C97" s="38"/>
      <c r="D97" s="36">
        <v>147</v>
      </c>
      <c r="E97" s="36">
        <v>131</v>
      </c>
      <c r="F97" s="36">
        <v>48</v>
      </c>
      <c r="G97" s="64"/>
      <c r="H97" s="64"/>
      <c r="I97" s="64"/>
      <c r="J97" s="67">
        <f ca="1">J94-J95</f>
        <v>-7.9213860115995018</v>
      </c>
      <c r="K97" s="67">
        <f ca="1">K94-K95</f>
        <v>1.6542928016561071</v>
      </c>
      <c r="L97" s="67">
        <f ca="1">L94-L95</f>
        <v>8.6162715355752297</v>
      </c>
      <c r="M97" s="67">
        <f ca="1">M94-M95</f>
        <v>11.652956655773266</v>
      </c>
      <c r="N97" s="67">
        <f ca="1">N94-N95</f>
        <v>17.400898947722006</v>
      </c>
    </row>
    <row r="98" spans="1:14" x14ac:dyDescent="0.3">
      <c r="A98" s="1"/>
      <c r="B98" s="6" t="s">
        <v>116</v>
      </c>
      <c r="C98" s="38"/>
      <c r="D98" s="36">
        <v>576</v>
      </c>
      <c r="E98" s="36">
        <v>565</v>
      </c>
      <c r="F98" s="36">
        <v>521</v>
      </c>
      <c r="G98" s="64"/>
      <c r="H98" s="64"/>
      <c r="I98" s="64"/>
      <c r="J98" s="67">
        <f>J84-J86</f>
        <v>586.01161799999954</v>
      </c>
      <c r="K98" s="67">
        <f>K84-K86</f>
        <v>602.41994330399962</v>
      </c>
      <c r="L98" s="67">
        <f>L84-L86</f>
        <v>621.69738148972715</v>
      </c>
      <c r="M98" s="67">
        <f>M84-M86</f>
        <v>637.23981602697086</v>
      </c>
      <c r="N98" s="67">
        <f>N84-N86</f>
        <v>651.25909197956366</v>
      </c>
    </row>
    <row r="99" spans="1:14" x14ac:dyDescent="0.3">
      <c r="A99" s="1"/>
      <c r="B99" s="2"/>
      <c r="C99" s="38"/>
      <c r="D99" s="59"/>
      <c r="E99" s="59"/>
      <c r="F99" s="59"/>
      <c r="G99" s="59"/>
      <c r="H99" s="59"/>
      <c r="I99" s="59"/>
      <c r="J99" s="71"/>
      <c r="K99" s="71"/>
      <c r="L99" s="71"/>
      <c r="M99" s="71"/>
      <c r="N99" s="71"/>
    </row>
    <row r="100" spans="1:14" ht="19.95" customHeight="1" x14ac:dyDescent="0.3">
      <c r="A100" s="1"/>
      <c r="B100" s="19" t="s">
        <v>117</v>
      </c>
      <c r="C100" s="37"/>
      <c r="D100" s="60"/>
      <c r="E100" s="60"/>
      <c r="F100" s="60"/>
      <c r="G100" s="60"/>
      <c r="H100" s="60"/>
      <c r="I100" s="60"/>
      <c r="J100" s="72"/>
      <c r="K100" s="72"/>
      <c r="L100" s="72"/>
      <c r="M100" s="72"/>
      <c r="N100" s="72"/>
    </row>
    <row r="101" spans="1:14" ht="14.4" customHeight="1" x14ac:dyDescent="0.3">
      <c r="A101" s="1"/>
      <c r="B101" s="2"/>
      <c r="C101" s="38"/>
      <c r="D101" s="178" t="s">
        <v>86</v>
      </c>
      <c r="E101" s="179"/>
      <c r="F101" s="179"/>
      <c r="G101" s="178" t="s">
        <v>87</v>
      </c>
      <c r="H101" s="179"/>
      <c r="I101" s="179"/>
      <c r="J101" s="180" t="s">
        <v>88</v>
      </c>
      <c r="K101" s="181"/>
      <c r="L101" s="181"/>
      <c r="M101" s="181"/>
      <c r="N101" s="181"/>
    </row>
    <row r="102" spans="1:14" x14ac:dyDescent="0.3">
      <c r="A102" s="1"/>
      <c r="B102" s="2"/>
      <c r="C102" s="38"/>
      <c r="D102" s="56">
        <v>2012</v>
      </c>
      <c r="E102" s="56">
        <v>2013</v>
      </c>
      <c r="F102" s="56">
        <v>2014</v>
      </c>
      <c r="G102" s="56" t="s">
        <v>89</v>
      </c>
      <c r="H102" s="56" t="s">
        <v>90</v>
      </c>
      <c r="I102" s="56">
        <v>2014</v>
      </c>
      <c r="J102" s="56">
        <v>2015</v>
      </c>
      <c r="K102" s="56">
        <v>2016</v>
      </c>
      <c r="L102" s="56">
        <v>2017</v>
      </c>
      <c r="M102" s="56">
        <v>2018</v>
      </c>
      <c r="N102" s="56">
        <v>2019</v>
      </c>
    </row>
    <row r="103" spans="1:14" ht="28.8" customHeight="1" x14ac:dyDescent="0.3">
      <c r="A103" s="1"/>
      <c r="B103" s="20" t="s">
        <v>118</v>
      </c>
      <c r="C103" s="38"/>
      <c r="D103" s="73"/>
      <c r="E103" s="73"/>
      <c r="F103" s="73"/>
      <c r="G103" s="73"/>
      <c r="H103" s="73"/>
      <c r="I103" s="73"/>
      <c r="J103" s="74"/>
      <c r="K103" s="74"/>
      <c r="L103" s="74"/>
      <c r="M103" s="74"/>
      <c r="N103" s="74"/>
    </row>
    <row r="104" spans="1:14" ht="40.799999999999997" customHeight="1" x14ac:dyDescent="0.3">
      <c r="A104" s="1"/>
      <c r="B104" s="2" t="s">
        <v>119</v>
      </c>
      <c r="C104" s="38"/>
      <c r="D104" s="35">
        <v>180</v>
      </c>
      <c r="E104" s="35">
        <v>162</v>
      </c>
      <c r="F104" s="35">
        <v>192</v>
      </c>
      <c r="G104" s="64"/>
      <c r="H104" s="64"/>
      <c r="I104" s="35">
        <v>192</v>
      </c>
      <c r="J104" s="65">
        <f>$I$15</f>
        <v>50</v>
      </c>
      <c r="K104" s="65">
        <f>$I$15</f>
        <v>50</v>
      </c>
      <c r="L104" s="65">
        <f>$I$15</f>
        <v>50</v>
      </c>
      <c r="M104" s="65">
        <f>$I$15</f>
        <v>50</v>
      </c>
      <c r="N104" s="65">
        <f>$I$15</f>
        <v>50</v>
      </c>
    </row>
    <row r="105" spans="1:14" ht="40.200000000000003" customHeight="1" x14ac:dyDescent="0.3">
      <c r="A105" s="1"/>
      <c r="B105" s="2" t="s">
        <v>120</v>
      </c>
      <c r="C105" s="38"/>
      <c r="D105" s="35">
        <v>720</v>
      </c>
      <c r="E105" s="35">
        <v>752</v>
      </c>
      <c r="F105" s="35">
        <v>805</v>
      </c>
      <c r="G105" s="64"/>
      <c r="H105" s="64"/>
      <c r="I105" s="35">
        <v>805</v>
      </c>
      <c r="J105" s="65">
        <f>J83*J72</f>
        <v>801.00524384999983</v>
      </c>
      <c r="K105" s="65">
        <f>K83*K72</f>
        <v>823.43339067779982</v>
      </c>
      <c r="L105" s="65">
        <f>L83*L72</f>
        <v>849.78325917948951</v>
      </c>
      <c r="M105" s="65">
        <f>M83*M72</f>
        <v>871.02784065897663</v>
      </c>
      <c r="N105" s="65">
        <f>N83*N72</f>
        <v>890.19045315347421</v>
      </c>
    </row>
    <row r="106" spans="1:14" ht="43.2" customHeight="1" x14ac:dyDescent="0.3">
      <c r="A106" s="1"/>
      <c r="B106" s="7" t="s">
        <v>121</v>
      </c>
      <c r="C106" s="75"/>
      <c r="D106" s="35">
        <v>150</v>
      </c>
      <c r="E106" s="35">
        <v>165</v>
      </c>
      <c r="F106" s="35">
        <v>170</v>
      </c>
      <c r="G106" s="64"/>
      <c r="H106" s="64"/>
      <c r="I106" s="35">
        <v>170</v>
      </c>
      <c r="J106" s="65">
        <f>J86*J73</f>
        <v>170.58670592760001</v>
      </c>
      <c r="K106" s="65">
        <f>K86*K73</f>
        <v>175.36313369357282</v>
      </c>
      <c r="L106" s="65">
        <f>L86*L73</f>
        <v>180.97475397176714</v>
      </c>
      <c r="M106" s="65">
        <f>M86*M73</f>
        <v>185.49912282106132</v>
      </c>
      <c r="N106" s="65">
        <f>N86*N73</f>
        <v>189.58010352312468</v>
      </c>
    </row>
    <row r="107" spans="1:14" ht="34.200000000000003" customHeight="1" x14ac:dyDescent="0.3">
      <c r="A107" s="1"/>
      <c r="B107" s="6" t="s">
        <v>122</v>
      </c>
      <c r="C107" s="38"/>
      <c r="D107" s="36">
        <v>1050</v>
      </c>
      <c r="E107" s="36">
        <v>1079</v>
      </c>
      <c r="F107" s="36">
        <v>1167</v>
      </c>
      <c r="G107" s="64"/>
      <c r="H107" s="64"/>
      <c r="I107" s="36">
        <v>1167</v>
      </c>
      <c r="J107" s="67">
        <f>J104+J105+J106</f>
        <v>1021.5919497775999</v>
      </c>
      <c r="K107" s="67">
        <f>K104+K105+K106</f>
        <v>1048.7965243713727</v>
      </c>
      <c r="L107" s="67">
        <f>L104+L105+L106</f>
        <v>1080.7580131512566</v>
      </c>
      <c r="M107" s="67">
        <f>M104+M105+M106</f>
        <v>1106.5269634800379</v>
      </c>
      <c r="N107" s="67">
        <f>N104+N105+N106</f>
        <v>1129.770556676599</v>
      </c>
    </row>
    <row r="108" spans="1:14" x14ac:dyDescent="0.3">
      <c r="A108" s="1"/>
      <c r="B108" s="2"/>
      <c r="C108" s="38"/>
      <c r="D108" s="43"/>
      <c r="E108" s="43"/>
      <c r="F108" s="43"/>
      <c r="G108" s="76"/>
      <c r="H108" s="43"/>
      <c r="I108" s="77"/>
      <c r="J108" s="43"/>
      <c r="K108" s="43"/>
      <c r="L108" s="43"/>
      <c r="M108" s="43"/>
      <c r="N108" s="43"/>
    </row>
    <row r="109" spans="1:14" ht="43.2" customHeight="1" x14ac:dyDescent="0.3">
      <c r="A109" s="1"/>
      <c r="B109" s="20" t="s">
        <v>123</v>
      </c>
      <c r="C109" s="38"/>
      <c r="D109" s="43"/>
      <c r="E109" s="43"/>
      <c r="F109" s="43"/>
      <c r="G109" s="76"/>
      <c r="H109" s="43"/>
      <c r="I109" s="77"/>
      <c r="J109" s="43"/>
      <c r="K109" s="43"/>
      <c r="L109" s="43"/>
      <c r="M109" s="43"/>
      <c r="N109" s="43"/>
    </row>
    <row r="110" spans="1:14" x14ac:dyDescent="0.3">
      <c r="A110" s="1"/>
      <c r="B110" s="2" t="s">
        <v>124</v>
      </c>
      <c r="C110" s="38"/>
      <c r="D110" s="35">
        <v>1720</v>
      </c>
      <c r="E110" s="35">
        <v>1850</v>
      </c>
      <c r="F110" s="35">
        <v>1980</v>
      </c>
      <c r="G110" s="123">
        <f>G52</f>
        <v>198</v>
      </c>
      <c r="H110" s="123"/>
      <c r="I110" s="123">
        <f>F110+G110-H110</f>
        <v>2178</v>
      </c>
      <c r="J110" s="105">
        <f>I110-J162-J87-J88</f>
        <v>2134.8451125000001</v>
      </c>
      <c r="K110" s="105">
        <f>J110-K162-K87-K88</f>
        <v>2091.1748881500002</v>
      </c>
      <c r="L110" s="105">
        <f>K110-L162-L87-L88</f>
        <v>2046.8992166208004</v>
      </c>
      <c r="M110" s="105">
        <f>L110-M162-M87-M88</f>
        <v>2002.1354033033706</v>
      </c>
      <c r="N110" s="105">
        <f>M110-N162-N87-N88</f>
        <v>1956.931286092957</v>
      </c>
    </row>
    <row r="111" spans="1:14" x14ac:dyDescent="0.3">
      <c r="A111" s="1"/>
      <c r="B111" s="2" t="s">
        <v>125</v>
      </c>
      <c r="C111" s="38"/>
      <c r="D111" s="35">
        <v>1150</v>
      </c>
      <c r="E111" s="35">
        <v>1150</v>
      </c>
      <c r="F111" s="35">
        <v>1150</v>
      </c>
      <c r="G111" s="123">
        <v>4173.3100000000004</v>
      </c>
      <c r="H111" s="123">
        <v>1150</v>
      </c>
      <c r="I111" s="123">
        <f>F111+G111-H111</f>
        <v>4173.3100000000004</v>
      </c>
      <c r="J111" s="105">
        <f>I111</f>
        <v>4173.3100000000004</v>
      </c>
      <c r="K111" s="105">
        <f>I111</f>
        <v>4173.3100000000004</v>
      </c>
      <c r="L111" s="105">
        <f>I111</f>
        <v>4173.3100000000004</v>
      </c>
      <c r="M111" s="105">
        <f>I111</f>
        <v>4173.3100000000004</v>
      </c>
      <c r="N111" s="105">
        <f>I111</f>
        <v>4173.3100000000004</v>
      </c>
    </row>
    <row r="112" spans="1:14" ht="28.8" customHeight="1" x14ac:dyDescent="0.3">
      <c r="A112" s="1"/>
      <c r="B112" s="2" t="s">
        <v>126</v>
      </c>
      <c r="C112" s="38"/>
      <c r="D112" s="35">
        <v>420</v>
      </c>
      <c r="E112" s="35">
        <v>410</v>
      </c>
      <c r="F112" s="35">
        <v>400</v>
      </c>
      <c r="G112" s="123">
        <v>1177.05</v>
      </c>
      <c r="H112" s="123"/>
      <c r="I112" s="123">
        <f>F112+G112-H112</f>
        <v>1577.05</v>
      </c>
      <c r="J112" s="105">
        <f t="shared" ref="J112:N113" si="2">I112-J89</f>
        <v>1341.64022075</v>
      </c>
      <c r="K112" s="105">
        <f t="shared" si="2"/>
        <v>1106.2304415000001</v>
      </c>
      <c r="L112" s="105">
        <f t="shared" si="2"/>
        <v>870.82066225000017</v>
      </c>
      <c r="M112" s="105">
        <f t="shared" si="2"/>
        <v>635.41088300000024</v>
      </c>
      <c r="N112" s="105">
        <f t="shared" si="2"/>
        <v>400.00110375000025</v>
      </c>
    </row>
    <row r="113" spans="1:14" ht="57.6" customHeight="1" x14ac:dyDescent="0.3">
      <c r="A113" s="1"/>
      <c r="B113" s="2" t="s">
        <v>61</v>
      </c>
      <c r="C113" s="38"/>
      <c r="D113" s="35">
        <v>25</v>
      </c>
      <c r="E113" s="35">
        <v>22</v>
      </c>
      <c r="F113" s="35">
        <v>18</v>
      </c>
      <c r="G113" s="123">
        <v>56.7</v>
      </c>
      <c r="H113" s="123"/>
      <c r="I113" s="123">
        <f>F113+G113-H113</f>
        <v>74.7</v>
      </c>
      <c r="J113" s="105">
        <f t="shared" si="2"/>
        <v>63.359577536400003</v>
      </c>
      <c r="K113" s="105">
        <f t="shared" si="2"/>
        <v>52.019155072800004</v>
      </c>
      <c r="L113" s="105">
        <f t="shared" si="2"/>
        <v>40.678732609200004</v>
      </c>
      <c r="M113" s="105">
        <f t="shared" si="2"/>
        <v>29.338310145600005</v>
      </c>
      <c r="N113" s="105">
        <f t="shared" si="2"/>
        <v>17.997887682000005</v>
      </c>
    </row>
    <row r="114" spans="1:14" ht="28.8" customHeight="1" x14ac:dyDescent="0.3">
      <c r="A114" s="1"/>
      <c r="B114" s="2" t="s">
        <v>127</v>
      </c>
      <c r="C114" s="38"/>
      <c r="D114" s="35">
        <v>90</v>
      </c>
      <c r="E114" s="35">
        <v>95</v>
      </c>
      <c r="F114" s="35">
        <v>100</v>
      </c>
      <c r="G114" s="123"/>
      <c r="H114" s="123"/>
      <c r="I114" s="123">
        <f>F114+G114-H114</f>
        <v>100</v>
      </c>
      <c r="J114" s="105">
        <f>I114</f>
        <v>100</v>
      </c>
      <c r="K114" s="105">
        <f>I114</f>
        <v>100</v>
      </c>
      <c r="L114" s="105">
        <f>I114</f>
        <v>100</v>
      </c>
      <c r="M114" s="105">
        <f>I114</f>
        <v>100</v>
      </c>
      <c r="N114" s="105">
        <f>I114</f>
        <v>100</v>
      </c>
    </row>
    <row r="115" spans="1:14" ht="57.6" customHeight="1" x14ac:dyDescent="0.3">
      <c r="A115" s="1"/>
      <c r="B115" s="10" t="s">
        <v>128</v>
      </c>
      <c r="C115" s="78"/>
      <c r="D115" s="36">
        <v>3405</v>
      </c>
      <c r="E115" s="36">
        <v>3527</v>
      </c>
      <c r="F115" s="36">
        <v>3648</v>
      </c>
      <c r="G115" s="123"/>
      <c r="H115" s="123"/>
      <c r="I115" s="124">
        <v>8103.06</v>
      </c>
      <c r="J115" s="108">
        <f>J110+J111+J112+J113+J114</f>
        <v>7813.1549107864003</v>
      </c>
      <c r="K115" s="108">
        <f>K110+K111+K112+K113+K114</f>
        <v>7522.7344847227996</v>
      </c>
      <c r="L115" s="108">
        <f>L110+L111+L112+L113+L114</f>
        <v>7231.7086114800004</v>
      </c>
      <c r="M115" s="108">
        <f>M110+M111+M112+M113+M114</f>
        <v>6940.1945964489714</v>
      </c>
      <c r="N115" s="108">
        <f>N110+N111+N112+N113+N114</f>
        <v>6648.2402775249566</v>
      </c>
    </row>
    <row r="116" spans="1:14" ht="28.8" customHeight="1" x14ac:dyDescent="0.3">
      <c r="A116" s="1"/>
      <c r="B116" s="6" t="s">
        <v>129</v>
      </c>
      <c r="C116" s="38"/>
      <c r="D116" s="36">
        <v>4455</v>
      </c>
      <c r="E116" s="36">
        <v>4606</v>
      </c>
      <c r="F116" s="36">
        <v>4815</v>
      </c>
      <c r="G116" s="123"/>
      <c r="H116" s="123"/>
      <c r="I116" s="124">
        <v>9270.06</v>
      </c>
      <c r="J116" s="108">
        <f>J107+J115</f>
        <v>8834.7468605640006</v>
      </c>
      <c r="K116" s="108">
        <f>K107+K115</f>
        <v>8571.531009094173</v>
      </c>
      <c r="L116" s="108">
        <f>L107+L115</f>
        <v>8312.4666246312572</v>
      </c>
      <c r="M116" s="108">
        <f>M107+M115</f>
        <v>8046.7215599290093</v>
      </c>
      <c r="N116" s="108">
        <f>N107+N115</f>
        <v>7778.0108342015556</v>
      </c>
    </row>
    <row r="117" spans="1:14" x14ac:dyDescent="0.3">
      <c r="A117" s="1"/>
      <c r="B117" s="2"/>
      <c r="C117" s="38"/>
      <c r="D117" s="64"/>
      <c r="E117" s="64"/>
      <c r="F117" s="64"/>
      <c r="G117" s="125"/>
      <c r="H117" s="125"/>
      <c r="I117" s="125"/>
      <c r="J117" s="64"/>
      <c r="K117" s="64"/>
      <c r="L117" s="64"/>
      <c r="M117" s="64"/>
      <c r="N117" s="64"/>
    </row>
    <row r="118" spans="1:14" x14ac:dyDescent="0.3">
      <c r="A118" s="1"/>
      <c r="B118" s="6"/>
      <c r="C118" s="38"/>
      <c r="D118" s="64"/>
      <c r="E118" s="64"/>
      <c r="F118" s="64"/>
      <c r="G118" s="125"/>
      <c r="H118" s="125"/>
      <c r="I118" s="125"/>
      <c r="J118" s="64"/>
      <c r="K118" s="64"/>
      <c r="L118" s="64"/>
      <c r="M118" s="64"/>
      <c r="N118" s="64"/>
    </row>
    <row r="119" spans="1:14" ht="28.8" customHeight="1" x14ac:dyDescent="0.3">
      <c r="A119" s="1"/>
      <c r="B119" s="20" t="s">
        <v>130</v>
      </c>
      <c r="C119" s="38"/>
      <c r="D119" s="64"/>
      <c r="E119" s="64"/>
      <c r="F119" s="64"/>
      <c r="G119" s="125"/>
      <c r="H119" s="125"/>
      <c r="I119" s="125"/>
      <c r="J119" s="64"/>
      <c r="K119" s="64"/>
      <c r="L119" s="64"/>
      <c r="M119" s="64"/>
      <c r="N119" s="64"/>
    </row>
    <row r="120" spans="1:14" x14ac:dyDescent="0.3">
      <c r="A120" s="1"/>
      <c r="B120" s="2" t="s">
        <v>46</v>
      </c>
      <c r="C120" s="38"/>
      <c r="D120" s="35">
        <v>50</v>
      </c>
      <c r="E120" s="35">
        <v>80</v>
      </c>
      <c r="F120" s="35">
        <v>100</v>
      </c>
      <c r="G120" s="125"/>
      <c r="H120" s="125"/>
      <c r="I120" s="125">
        <v>100</v>
      </c>
      <c r="J120" s="99">
        <v>0</v>
      </c>
      <c r="K120" s="99">
        <v>0</v>
      </c>
      <c r="L120" s="99">
        <v>0</v>
      </c>
      <c r="M120" s="99">
        <v>0</v>
      </c>
      <c r="N120" s="99">
        <v>0</v>
      </c>
    </row>
    <row r="121" spans="1:14" ht="28.8" customHeight="1" x14ac:dyDescent="0.3">
      <c r="A121" s="1"/>
      <c r="B121" s="2" t="s">
        <v>131</v>
      </c>
      <c r="C121" s="38"/>
      <c r="D121" s="35">
        <v>650</v>
      </c>
      <c r="E121" s="35">
        <v>690</v>
      </c>
      <c r="F121" s="35">
        <v>720</v>
      </c>
      <c r="G121" s="125"/>
      <c r="H121" s="125"/>
      <c r="I121" s="125">
        <v>720</v>
      </c>
      <c r="J121" s="65">
        <f>J83*J74</f>
        <v>724.90716899999995</v>
      </c>
      <c r="K121" s="65">
        <f>K83*K74</f>
        <v>745.20456973199998</v>
      </c>
      <c r="L121" s="65">
        <f>L83*L74</f>
        <v>769.05111596342408</v>
      </c>
      <c r="M121" s="65">
        <f>M83*M74</f>
        <v>788.27739386250948</v>
      </c>
      <c r="N121" s="65">
        <f>N83*N74</f>
        <v>805.61949652748478</v>
      </c>
    </row>
    <row r="122" spans="1:14" ht="43.2" customHeight="1" x14ac:dyDescent="0.3">
      <c r="A122" s="1"/>
      <c r="B122" s="2" t="s">
        <v>132</v>
      </c>
      <c r="C122" s="38"/>
      <c r="D122" s="35">
        <v>430</v>
      </c>
      <c r="E122" s="35">
        <v>460</v>
      </c>
      <c r="F122" s="35">
        <v>500</v>
      </c>
      <c r="G122" s="125"/>
      <c r="H122" s="125"/>
      <c r="I122" s="125">
        <v>500</v>
      </c>
      <c r="J122" s="65">
        <f>J86*J75</f>
        <v>488.61138279959994</v>
      </c>
      <c r="K122" s="65">
        <f>K86*K75</f>
        <v>502.2925015179888</v>
      </c>
      <c r="L122" s="65">
        <f>L86*L75</f>
        <v>518.36586156656438</v>
      </c>
      <c r="M122" s="65">
        <f>M86*M75</f>
        <v>531.32500810572844</v>
      </c>
      <c r="N122" s="65">
        <f>N86*N75</f>
        <v>543.01415828405459</v>
      </c>
    </row>
    <row r="123" spans="1:14" ht="43.2" customHeight="1" x14ac:dyDescent="0.3">
      <c r="A123" s="1"/>
      <c r="B123" s="11" t="s">
        <v>133</v>
      </c>
      <c r="C123" s="79"/>
      <c r="D123" s="36">
        <v>1130</v>
      </c>
      <c r="E123" s="36">
        <v>1230</v>
      </c>
      <c r="F123" s="36">
        <v>1320</v>
      </c>
      <c r="G123" s="125"/>
      <c r="H123" s="125"/>
      <c r="I123" s="125">
        <v>1320</v>
      </c>
      <c r="J123" s="67">
        <f>J120+J121+J122</f>
        <v>1213.5185517995999</v>
      </c>
      <c r="K123" s="67">
        <f>K120+K121+K122</f>
        <v>1247.4970712499887</v>
      </c>
      <c r="L123" s="67">
        <f>L120+L121+L122</f>
        <v>1287.4169775299883</v>
      </c>
      <c r="M123" s="67">
        <f>M120+M121+M122</f>
        <v>1319.6024019682379</v>
      </c>
      <c r="N123" s="67">
        <f>N120+N121+N122</f>
        <v>1348.6336548115394</v>
      </c>
    </row>
    <row r="124" spans="1:14" x14ac:dyDescent="0.3">
      <c r="A124" s="1"/>
      <c r="B124" s="2"/>
      <c r="C124" s="38"/>
      <c r="D124" s="64"/>
      <c r="E124" s="64"/>
      <c r="F124" s="64"/>
      <c r="G124" s="125"/>
      <c r="H124" s="125"/>
      <c r="I124" s="125"/>
      <c r="J124" s="64"/>
      <c r="K124" s="64"/>
      <c r="L124" s="64"/>
      <c r="M124" s="64"/>
      <c r="N124" s="64"/>
    </row>
    <row r="125" spans="1:14" ht="43.2" customHeight="1" x14ac:dyDescent="0.3">
      <c r="A125" s="1"/>
      <c r="B125" s="20" t="s">
        <v>134</v>
      </c>
      <c r="C125" s="38"/>
      <c r="D125" s="64"/>
      <c r="E125" s="64"/>
      <c r="F125" s="64"/>
      <c r="G125" s="125"/>
      <c r="H125" s="125"/>
      <c r="I125" s="125"/>
      <c r="J125" s="64"/>
      <c r="K125" s="64"/>
      <c r="L125" s="64"/>
      <c r="M125" s="64"/>
      <c r="N125" s="64"/>
    </row>
    <row r="126" spans="1:14" ht="57.6" customHeight="1" x14ac:dyDescent="0.3">
      <c r="A126" s="1"/>
      <c r="B126" s="2" t="s">
        <v>135</v>
      </c>
      <c r="C126" s="38"/>
      <c r="D126" s="35">
        <v>1200</v>
      </c>
      <c r="E126" s="35">
        <v>1050</v>
      </c>
      <c r="F126" s="35">
        <v>1150</v>
      </c>
      <c r="G126" s="125">
        <v>1150</v>
      </c>
      <c r="H126" s="125"/>
      <c r="I126" s="125" t="s">
        <v>108</v>
      </c>
      <c r="J126" s="65" t="s">
        <v>136</v>
      </c>
      <c r="K126" s="65" t="s">
        <v>136</v>
      </c>
      <c r="L126" s="65" t="s">
        <v>136</v>
      </c>
      <c r="M126" s="65" t="s">
        <v>136</v>
      </c>
      <c r="N126" s="65" t="s">
        <v>136</v>
      </c>
    </row>
    <row r="127" spans="1:14" ht="43.2" customHeight="1" x14ac:dyDescent="0.3">
      <c r="A127" s="1"/>
      <c r="B127" s="2" t="s">
        <v>49</v>
      </c>
      <c r="C127" s="38"/>
      <c r="D127" s="64" t="s">
        <v>108</v>
      </c>
      <c r="E127" s="64" t="s">
        <v>108</v>
      </c>
      <c r="F127" s="64" t="s">
        <v>108</v>
      </c>
      <c r="G127" s="125"/>
      <c r="H127" s="125">
        <v>793.83</v>
      </c>
      <c r="I127" s="125">
        <v>793.83</v>
      </c>
      <c r="J127" s="65">
        <f ca="1">I127-J207-J214</f>
        <v>497.86862419591949</v>
      </c>
      <c r="K127" s="65">
        <f ca="1">J127-K207-K214</f>
        <v>223.96888989396734</v>
      </c>
      <c r="L127" s="65">
        <f ca="1">K127-L207-L214</f>
        <v>0</v>
      </c>
      <c r="M127" s="65">
        <f ca="1">L127-M207-M214</f>
        <v>0</v>
      </c>
      <c r="N127" s="65">
        <f ca="1">M127-N207-N214</f>
        <v>0</v>
      </c>
    </row>
    <row r="128" spans="1:14" ht="28.8" customHeight="1" x14ac:dyDescent="0.3">
      <c r="A128" s="1"/>
      <c r="B128" s="2" t="s">
        <v>50</v>
      </c>
      <c r="C128" s="38"/>
      <c r="D128" s="64" t="s">
        <v>108</v>
      </c>
      <c r="E128" s="64" t="s">
        <v>108</v>
      </c>
      <c r="F128" s="64" t="s">
        <v>108</v>
      </c>
      <c r="G128" s="125"/>
      <c r="H128" s="125">
        <v>2494.89</v>
      </c>
      <c r="I128" s="125">
        <v>2494.89</v>
      </c>
      <c r="J128" s="65">
        <f>I128-I128*$J$34</f>
        <v>2469.9411</v>
      </c>
      <c r="K128" s="65">
        <f ca="1">J128-K208-K215</f>
        <v>2444.9921705800798</v>
      </c>
      <c r="L128" s="65">
        <f ca="1">K128-L208-L215</f>
        <v>2361.3604981955559</v>
      </c>
      <c r="M128" s="65">
        <f ca="1">L128-M208-M215</f>
        <v>2051.7770523992845</v>
      </c>
      <c r="N128" s="65">
        <f ca="1">M128-N208-N215</f>
        <v>1736.6341748808086</v>
      </c>
    </row>
    <row r="129" spans="1:14" ht="43.2" customHeight="1" x14ac:dyDescent="0.3">
      <c r="A129" s="1"/>
      <c r="B129" s="2" t="s">
        <v>52</v>
      </c>
      <c r="C129" s="38"/>
      <c r="D129" s="64" t="s">
        <v>108</v>
      </c>
      <c r="E129" s="64" t="s">
        <v>108</v>
      </c>
      <c r="F129" s="64" t="s">
        <v>108</v>
      </c>
      <c r="G129" s="125"/>
      <c r="H129" s="125">
        <v>226.81</v>
      </c>
      <c r="I129" s="125">
        <v>226.81</v>
      </c>
      <c r="J129" s="65">
        <f>$I$129</f>
        <v>226.81</v>
      </c>
      <c r="K129" s="65">
        <f>$I$129</f>
        <v>226.81</v>
      </c>
      <c r="L129" s="65">
        <f>$I$129</f>
        <v>226.81</v>
      </c>
      <c r="M129" s="65">
        <f>$I$129</f>
        <v>226.81</v>
      </c>
      <c r="N129" s="65">
        <f>$I$129</f>
        <v>226.81</v>
      </c>
    </row>
    <row r="130" spans="1:14" ht="72" customHeight="1" x14ac:dyDescent="0.3">
      <c r="A130" s="1"/>
      <c r="B130" s="2" t="s">
        <v>137</v>
      </c>
      <c r="C130" s="38"/>
      <c r="D130" s="35">
        <v>250</v>
      </c>
      <c r="E130" s="35">
        <v>270</v>
      </c>
      <c r="F130" s="35">
        <v>300</v>
      </c>
      <c r="G130" s="125">
        <v>300</v>
      </c>
      <c r="H130" s="125">
        <v>1140.17</v>
      </c>
      <c r="I130" s="125">
        <v>1140.17</v>
      </c>
      <c r="J130" s="65">
        <f>I130</f>
        <v>1140.17</v>
      </c>
      <c r="K130" s="65">
        <f>I130</f>
        <v>1140.17</v>
      </c>
      <c r="L130" s="65">
        <f>I130</f>
        <v>1140.17</v>
      </c>
      <c r="M130" s="65">
        <f>I130</f>
        <v>1140.17</v>
      </c>
      <c r="N130" s="65">
        <f>I130</f>
        <v>1140.17</v>
      </c>
    </row>
    <row r="131" spans="1:14" ht="57.6" customHeight="1" x14ac:dyDescent="0.3">
      <c r="A131" s="1"/>
      <c r="B131" s="7" t="s">
        <v>138</v>
      </c>
      <c r="C131" s="75"/>
      <c r="D131" s="35">
        <v>235</v>
      </c>
      <c r="E131" s="35">
        <v>360</v>
      </c>
      <c r="F131" s="35">
        <v>353</v>
      </c>
      <c r="G131" s="125"/>
      <c r="H131" s="125"/>
      <c r="I131" s="125">
        <v>353</v>
      </c>
      <c r="J131" s="65">
        <f>I131</f>
        <v>353</v>
      </c>
      <c r="K131" s="65">
        <f>I131</f>
        <v>353</v>
      </c>
      <c r="L131" s="65">
        <f>I131</f>
        <v>353</v>
      </c>
      <c r="M131" s="65">
        <f>I131</f>
        <v>353</v>
      </c>
      <c r="N131" s="65">
        <f>I131</f>
        <v>353</v>
      </c>
    </row>
    <row r="132" spans="1:14" ht="57.6" customHeight="1" x14ac:dyDescent="0.3">
      <c r="A132" s="1"/>
      <c r="B132" s="5" t="s">
        <v>139</v>
      </c>
      <c r="C132" s="75"/>
      <c r="D132" s="36">
        <v>1685</v>
      </c>
      <c r="E132" s="36">
        <v>1680</v>
      </c>
      <c r="F132" s="36">
        <v>1803</v>
      </c>
      <c r="G132" s="125"/>
      <c r="H132" s="125"/>
      <c r="I132" s="126">
        <v>5008.7</v>
      </c>
      <c r="J132" s="67">
        <f ca="1">J126+J127+J128+J129+J130+J131</f>
        <v>4687.7897241959199</v>
      </c>
      <c r="K132" s="67">
        <f ca="1">K126+K127+K128+K129+K130+K131</f>
        <v>4388.9410604740478</v>
      </c>
      <c r="L132" s="67">
        <f ca="1">L126+L127+L128+L129+L130+L131</f>
        <v>4081.3404981955559</v>
      </c>
      <c r="M132" s="67">
        <f ca="1">M126+M127+M128+M129+M130+M131</f>
        <v>3771.7570523992845</v>
      </c>
      <c r="N132" s="67">
        <f ca="1">N126+N127+N128+N129+N130+N131</f>
        <v>3456.6141748808086</v>
      </c>
    </row>
    <row r="133" spans="1:14" ht="28.8" customHeight="1" x14ac:dyDescent="0.3">
      <c r="A133" s="1"/>
      <c r="B133" s="6" t="s">
        <v>140</v>
      </c>
      <c r="C133" s="38"/>
      <c r="D133" s="36">
        <v>2815</v>
      </c>
      <c r="E133" s="36">
        <v>2910</v>
      </c>
      <c r="F133" s="36">
        <v>3123</v>
      </c>
      <c r="G133" s="125"/>
      <c r="H133" s="125"/>
      <c r="I133" s="126">
        <v>6328.7</v>
      </c>
      <c r="J133" s="67">
        <f ca="1">J123+J132</f>
        <v>5901.3082759955196</v>
      </c>
      <c r="K133" s="67">
        <f ca="1">K123+K132</f>
        <v>5636.4381317240368</v>
      </c>
      <c r="L133" s="67">
        <f ca="1">L123+L132</f>
        <v>5368.7574757255443</v>
      </c>
      <c r="M133" s="67">
        <f ca="1">M123+M132</f>
        <v>5091.3594543675226</v>
      </c>
      <c r="N133" s="67">
        <f ca="1">N123+N132</f>
        <v>4805.2478296923482</v>
      </c>
    </row>
    <row r="134" spans="1:14" x14ac:dyDescent="0.3">
      <c r="A134" s="1"/>
      <c r="B134" s="2"/>
      <c r="C134" s="38"/>
      <c r="D134" s="43"/>
      <c r="E134" s="43"/>
      <c r="F134" s="43"/>
      <c r="G134" s="127"/>
      <c r="H134" s="128"/>
      <c r="I134" s="128"/>
      <c r="J134" s="113"/>
      <c r="K134" s="114"/>
      <c r="L134" s="114"/>
      <c r="M134" s="114"/>
      <c r="N134" s="114"/>
    </row>
    <row r="135" spans="1:14" ht="43.2" customHeight="1" x14ac:dyDescent="0.3">
      <c r="A135" s="1"/>
      <c r="B135" s="20" t="s">
        <v>141</v>
      </c>
      <c r="C135" s="38"/>
      <c r="D135" s="43"/>
      <c r="E135" s="43"/>
      <c r="F135" s="43"/>
      <c r="G135" s="129"/>
      <c r="H135" s="128"/>
      <c r="I135" s="130"/>
      <c r="J135" s="114"/>
      <c r="K135" s="114"/>
      <c r="L135" s="114"/>
      <c r="M135" s="114"/>
      <c r="N135" s="114"/>
    </row>
    <row r="136" spans="1:14" ht="42.6" customHeight="1" x14ac:dyDescent="0.3">
      <c r="A136" s="1"/>
      <c r="B136" s="2" t="s">
        <v>142</v>
      </c>
      <c r="C136" s="38"/>
      <c r="D136" s="35">
        <v>10</v>
      </c>
      <c r="E136" s="35">
        <v>5</v>
      </c>
      <c r="F136" s="35">
        <v>5</v>
      </c>
      <c r="G136" s="125">
        <v>5</v>
      </c>
      <c r="H136" s="125"/>
      <c r="I136" s="125">
        <v>0</v>
      </c>
      <c r="J136" s="65" t="s">
        <v>136</v>
      </c>
      <c r="K136" s="65" t="s">
        <v>136</v>
      </c>
      <c r="L136" s="65" t="s">
        <v>136</v>
      </c>
      <c r="M136" s="65" t="s">
        <v>136</v>
      </c>
      <c r="N136" s="65" t="s">
        <v>136</v>
      </c>
    </row>
    <row r="137" spans="1:14" ht="43.2" customHeight="1" x14ac:dyDescent="0.3">
      <c r="A137" s="1"/>
      <c r="B137" s="2" t="s">
        <v>143</v>
      </c>
      <c r="C137" s="38"/>
      <c r="D137" s="35">
        <v>640</v>
      </c>
      <c r="E137" s="35">
        <v>657</v>
      </c>
      <c r="F137" s="35">
        <v>675</v>
      </c>
      <c r="G137" s="125">
        <v>675</v>
      </c>
      <c r="H137" s="125"/>
      <c r="I137" s="125">
        <v>0</v>
      </c>
      <c r="J137" s="65" t="s">
        <v>136</v>
      </c>
      <c r="K137" s="65" t="s">
        <v>136</v>
      </c>
      <c r="L137" s="65" t="s">
        <v>136</v>
      </c>
      <c r="M137" s="65" t="s">
        <v>136</v>
      </c>
      <c r="N137" s="65" t="s">
        <v>136</v>
      </c>
    </row>
    <row r="138" spans="1:14" ht="28.8" customHeight="1" x14ac:dyDescent="0.3">
      <c r="A138" s="1"/>
      <c r="B138" s="2" t="s">
        <v>144</v>
      </c>
      <c r="C138" s="38"/>
      <c r="D138" s="35">
        <v>-350</v>
      </c>
      <c r="E138" s="35">
        <v>-380</v>
      </c>
      <c r="F138" s="35">
        <v>-450</v>
      </c>
      <c r="G138" s="125">
        <v>-450</v>
      </c>
      <c r="H138" s="125"/>
      <c r="I138" s="125">
        <v>0</v>
      </c>
      <c r="J138" s="65" t="s">
        <v>136</v>
      </c>
      <c r="K138" s="65" t="s">
        <v>136</v>
      </c>
      <c r="L138" s="65" t="s">
        <v>136</v>
      </c>
      <c r="M138" s="65" t="s">
        <v>136</v>
      </c>
      <c r="N138" s="65" t="s">
        <v>136</v>
      </c>
    </row>
    <row r="139" spans="1:14" ht="43.2" customHeight="1" x14ac:dyDescent="0.3">
      <c r="A139" s="1"/>
      <c r="B139" s="2" t="s">
        <v>145</v>
      </c>
      <c r="C139" s="38"/>
      <c r="D139" s="64" t="s">
        <v>108</v>
      </c>
      <c r="E139" s="64" t="s">
        <v>108</v>
      </c>
      <c r="F139" s="64" t="s">
        <v>108</v>
      </c>
      <c r="G139" s="125">
        <v>0</v>
      </c>
      <c r="H139" s="125">
        <v>2972.12</v>
      </c>
      <c r="I139" s="125">
        <v>2972.12</v>
      </c>
      <c r="J139" s="65">
        <f>I139</f>
        <v>2972.12</v>
      </c>
      <c r="K139" s="65">
        <f>I139</f>
        <v>2972.12</v>
      </c>
      <c r="L139" s="65">
        <f>I139</f>
        <v>2972.12</v>
      </c>
      <c r="M139" s="65">
        <f>I139</f>
        <v>2972.12</v>
      </c>
      <c r="N139" s="65">
        <f>I139</f>
        <v>2972.12</v>
      </c>
    </row>
    <row r="140" spans="1:14" ht="28.8" customHeight="1" x14ac:dyDescent="0.3">
      <c r="A140" s="1"/>
      <c r="B140" s="7" t="s">
        <v>146</v>
      </c>
      <c r="C140" s="75"/>
      <c r="D140" s="35">
        <v>1340</v>
      </c>
      <c r="E140" s="35">
        <v>1414</v>
      </c>
      <c r="F140" s="35">
        <v>1462</v>
      </c>
      <c r="G140" s="125">
        <v>1493</v>
      </c>
      <c r="H140" s="125"/>
      <c r="I140" s="125">
        <v>-30.75</v>
      </c>
      <c r="J140" s="65">
        <f ca="1">I140+J97</f>
        <v>-38.671386011599502</v>
      </c>
      <c r="K140" s="65">
        <f ca="1">J140+K97</f>
        <v>-37.017093209943397</v>
      </c>
      <c r="L140" s="65">
        <f ca="1">K140+L97</f>
        <v>-28.400821674368167</v>
      </c>
      <c r="M140" s="65">
        <f ca="1">L140+M97</f>
        <v>-16.747865018594901</v>
      </c>
      <c r="N140" s="65">
        <f ca="1">M140+N97</f>
        <v>0.65303392912710478</v>
      </c>
    </row>
    <row r="141" spans="1:14" ht="57.6" customHeight="1" x14ac:dyDescent="0.3">
      <c r="A141" s="1"/>
      <c r="B141" s="6" t="s">
        <v>147</v>
      </c>
      <c r="C141" s="38"/>
      <c r="D141" s="36">
        <v>1640</v>
      </c>
      <c r="E141" s="36">
        <v>1696</v>
      </c>
      <c r="F141" s="36">
        <v>1692</v>
      </c>
      <c r="G141" s="125"/>
      <c r="H141" s="125"/>
      <c r="I141" s="126">
        <v>2941.37</v>
      </c>
      <c r="J141" s="67">
        <f ca="1">J136+J137+J138+J139+J140</f>
        <v>2933.4486139884002</v>
      </c>
      <c r="K141" s="67">
        <f ca="1">K136+K137+K138+K139+K140</f>
        <v>2935.1029067900563</v>
      </c>
      <c r="L141" s="67">
        <f ca="1">L136+L137+L138+L139+L140</f>
        <v>2943.7191783256317</v>
      </c>
      <c r="M141" s="67">
        <f ca="1">M136+M137+M138+M139+M140</f>
        <v>2955.372134981405</v>
      </c>
      <c r="N141" s="67">
        <f ca="1">N136+N137+N138+N139+N140</f>
        <v>2972.773033929127</v>
      </c>
    </row>
    <row r="142" spans="1:14" x14ac:dyDescent="0.3">
      <c r="A142" s="1"/>
      <c r="B142" s="2"/>
      <c r="C142" s="38"/>
      <c r="D142" s="64"/>
      <c r="E142" s="64"/>
      <c r="F142" s="64"/>
      <c r="G142" s="125"/>
      <c r="H142" s="125"/>
      <c r="I142" s="125"/>
      <c r="J142" s="65"/>
      <c r="K142" s="65"/>
      <c r="L142" s="65"/>
      <c r="M142" s="65"/>
      <c r="N142" s="65"/>
    </row>
    <row r="143" spans="1:14" ht="43.2" customHeight="1" x14ac:dyDescent="0.3">
      <c r="A143" s="1"/>
      <c r="B143" s="6" t="s">
        <v>148</v>
      </c>
      <c r="C143" s="38"/>
      <c r="D143" s="36">
        <v>4455</v>
      </c>
      <c r="E143" s="36">
        <v>4606</v>
      </c>
      <c r="F143" s="36">
        <v>4815</v>
      </c>
      <c r="G143" s="126"/>
      <c r="H143" s="126"/>
      <c r="I143" s="126">
        <v>9270.06</v>
      </c>
      <c r="J143" s="67">
        <f ca="1">J133+J141</f>
        <v>8834.7568899839207</v>
      </c>
      <c r="K143" s="67">
        <f ca="1">K133+K141</f>
        <v>8571.5410385140931</v>
      </c>
      <c r="L143" s="67">
        <f ca="1">L133+L141</f>
        <v>8312.4766540511755</v>
      </c>
      <c r="M143" s="67">
        <f ca="1">M133+M141</f>
        <v>8046.7315893489276</v>
      </c>
      <c r="N143" s="67">
        <f ca="1">N133+N141</f>
        <v>7778.0208636214757</v>
      </c>
    </row>
    <row r="144" spans="1:14" x14ac:dyDescent="0.3">
      <c r="A144" s="1"/>
      <c r="B144" s="2"/>
      <c r="C144" s="38"/>
      <c r="D144" s="64"/>
      <c r="E144" s="64"/>
      <c r="F144" s="64"/>
      <c r="G144" s="64"/>
      <c r="H144" s="64"/>
      <c r="I144" s="64"/>
      <c r="J144" s="65"/>
      <c r="K144" s="65"/>
      <c r="L144" s="65"/>
      <c r="M144" s="65"/>
      <c r="N144" s="65"/>
    </row>
    <row r="145" spans="1:14" ht="28.8" customHeight="1" x14ac:dyDescent="0.3">
      <c r="A145" s="1"/>
      <c r="B145" s="12" t="s">
        <v>149</v>
      </c>
      <c r="C145" s="38"/>
      <c r="D145" s="100">
        <v>0</v>
      </c>
      <c r="E145" s="100">
        <v>0</v>
      </c>
      <c r="F145" s="100">
        <v>0</v>
      </c>
      <c r="G145" s="81"/>
      <c r="H145" s="81"/>
      <c r="I145" s="81" t="s">
        <v>108</v>
      </c>
      <c r="J145" s="115">
        <f ca="1">J116-J143</f>
        <v>-1.0029419920101645E-2</v>
      </c>
      <c r="K145" s="115">
        <f ca="1">K116-K143</f>
        <v>-1.0029419920101645E-2</v>
      </c>
      <c r="L145" s="115">
        <f ca="1">L116-L143</f>
        <v>-1.0029419918282656E-2</v>
      </c>
      <c r="M145" s="115">
        <f ca="1">M116-M143</f>
        <v>-1.0029419918282656E-2</v>
      </c>
      <c r="N145" s="115">
        <f ca="1">N116-N143</f>
        <v>-1.0029419920101645E-2</v>
      </c>
    </row>
    <row r="146" spans="1:14" x14ac:dyDescent="0.3">
      <c r="A146" s="1"/>
      <c r="B146" s="2"/>
      <c r="C146" s="38"/>
      <c r="D146" s="38"/>
      <c r="E146" s="38"/>
      <c r="F146" s="38"/>
      <c r="G146" s="38"/>
      <c r="H146" s="38"/>
      <c r="I146" s="38"/>
      <c r="J146" s="116"/>
      <c r="K146" s="116"/>
      <c r="L146" s="116"/>
      <c r="M146" s="116"/>
      <c r="N146" s="116"/>
    </row>
    <row r="147" spans="1:14" ht="19.95" customHeight="1" x14ac:dyDescent="0.3">
      <c r="A147" s="1"/>
      <c r="B147" s="19" t="s">
        <v>150</v>
      </c>
      <c r="C147" s="37"/>
      <c r="D147" s="37"/>
      <c r="E147" s="37"/>
      <c r="F147" s="37"/>
      <c r="G147" s="37"/>
      <c r="H147" s="37"/>
      <c r="I147" s="37"/>
      <c r="J147" s="117"/>
      <c r="K147" s="117"/>
      <c r="L147" s="117"/>
      <c r="M147" s="117"/>
      <c r="N147" s="117"/>
    </row>
    <row r="148" spans="1:14" ht="14.4" customHeight="1" x14ac:dyDescent="0.3">
      <c r="A148" s="1"/>
      <c r="B148" s="2"/>
      <c r="C148" s="38"/>
      <c r="D148" s="178" t="s">
        <v>86</v>
      </c>
      <c r="E148" s="179"/>
      <c r="F148" s="179"/>
      <c r="G148" s="178" t="s">
        <v>2</v>
      </c>
      <c r="H148" s="179"/>
      <c r="I148" s="179"/>
      <c r="J148" s="182" t="s">
        <v>88</v>
      </c>
      <c r="K148" s="183"/>
      <c r="L148" s="183"/>
      <c r="M148" s="183"/>
      <c r="N148" s="183"/>
    </row>
    <row r="149" spans="1:14" x14ac:dyDescent="0.3">
      <c r="A149" s="1"/>
      <c r="B149" s="2"/>
      <c r="C149" s="38"/>
      <c r="D149" s="56">
        <v>2012</v>
      </c>
      <c r="E149" s="56">
        <v>2013</v>
      </c>
      <c r="F149" s="56">
        <v>2014</v>
      </c>
      <c r="G149" s="56" t="s">
        <v>89</v>
      </c>
      <c r="H149" s="56" t="s">
        <v>90</v>
      </c>
      <c r="I149" s="56">
        <v>2014</v>
      </c>
      <c r="J149" s="118">
        <v>2015</v>
      </c>
      <c r="K149" s="118">
        <v>2016</v>
      </c>
      <c r="L149" s="118">
        <v>2017</v>
      </c>
      <c r="M149" s="118">
        <v>2018</v>
      </c>
      <c r="N149" s="118">
        <v>2019</v>
      </c>
    </row>
    <row r="150" spans="1:14" ht="28.8" customHeight="1" x14ac:dyDescent="0.3">
      <c r="A150" s="1"/>
      <c r="B150" s="13" t="s">
        <v>115</v>
      </c>
      <c r="C150" s="38"/>
      <c r="D150" s="62"/>
      <c r="E150" s="62"/>
      <c r="F150" s="62"/>
      <c r="G150" s="62"/>
      <c r="H150" s="62"/>
      <c r="I150" s="62"/>
      <c r="J150" s="63">
        <f ca="1">J97</f>
        <v>-7.9213860115995018</v>
      </c>
      <c r="K150" s="63">
        <f ca="1">K97</f>
        <v>1.6542928016561071</v>
      </c>
      <c r="L150" s="63">
        <f ca="1">L97</f>
        <v>8.6162715355752297</v>
      </c>
      <c r="M150" s="63">
        <f ca="1">M97</f>
        <v>11.652956655773266</v>
      </c>
      <c r="N150" s="63">
        <f ca="1">N97</f>
        <v>17.400898947722006</v>
      </c>
    </row>
    <row r="151" spans="1:14" ht="57.6" customHeight="1" x14ac:dyDescent="0.3">
      <c r="A151" s="1"/>
      <c r="B151" s="8" t="s">
        <v>151</v>
      </c>
      <c r="C151" s="38"/>
      <c r="D151" s="64"/>
      <c r="E151" s="64"/>
      <c r="F151" s="64"/>
      <c r="G151" s="64"/>
      <c r="H151" s="64"/>
      <c r="I151" s="64"/>
      <c r="J151" s="65">
        <f t="shared" ref="J151:N154" si="3">J87</f>
        <v>170.55195749999996</v>
      </c>
      <c r="K151" s="65">
        <f t="shared" si="3"/>
        <v>175.32741230999997</v>
      </c>
      <c r="L151" s="65">
        <f t="shared" si="3"/>
        <v>180.93788950391999</v>
      </c>
      <c r="M151" s="65">
        <f t="shared" si="3"/>
        <v>185.46133674151795</v>
      </c>
      <c r="N151" s="65">
        <f t="shared" si="3"/>
        <v>189.54148614983137</v>
      </c>
    </row>
    <row r="152" spans="1:14" ht="49.8" customHeight="1" x14ac:dyDescent="0.3">
      <c r="A152" s="1"/>
      <c r="B152" s="8" t="s">
        <v>152</v>
      </c>
      <c r="C152" s="38"/>
      <c r="D152" s="64"/>
      <c r="E152" s="64"/>
      <c r="F152" s="64"/>
      <c r="G152" s="64"/>
      <c r="H152" s="64"/>
      <c r="I152" s="64"/>
      <c r="J152" s="65">
        <f t="shared" si="3"/>
        <v>24.75</v>
      </c>
      <c r="K152" s="65">
        <f t="shared" si="3"/>
        <v>24.75</v>
      </c>
      <c r="L152" s="65">
        <f t="shared" si="3"/>
        <v>24.75</v>
      </c>
      <c r="M152" s="65">
        <f t="shared" si="3"/>
        <v>24.75</v>
      </c>
      <c r="N152" s="65">
        <f t="shared" si="3"/>
        <v>24.75</v>
      </c>
    </row>
    <row r="153" spans="1:14" ht="46.2" customHeight="1" x14ac:dyDescent="0.3">
      <c r="A153" s="1"/>
      <c r="B153" s="8" t="s">
        <v>153</v>
      </c>
      <c r="C153" s="38"/>
      <c r="D153" s="64"/>
      <c r="E153" s="64"/>
      <c r="F153" s="64"/>
      <c r="G153" s="64"/>
      <c r="H153" s="64"/>
      <c r="I153" s="64"/>
      <c r="J153" s="65">
        <f t="shared" si="3"/>
        <v>235.40977924999999</v>
      </c>
      <c r="K153" s="65">
        <f t="shared" si="3"/>
        <v>235.40977924999999</v>
      </c>
      <c r="L153" s="65">
        <f t="shared" si="3"/>
        <v>235.40977924999999</v>
      </c>
      <c r="M153" s="65">
        <f t="shared" si="3"/>
        <v>235.40977924999999</v>
      </c>
      <c r="N153" s="65">
        <f t="shared" si="3"/>
        <v>235.40977924999999</v>
      </c>
    </row>
    <row r="154" spans="1:14" x14ac:dyDescent="0.3">
      <c r="A154" s="1"/>
      <c r="B154" s="8" t="s">
        <v>154</v>
      </c>
      <c r="C154" s="38"/>
      <c r="D154" s="64"/>
      <c r="E154" s="64"/>
      <c r="F154" s="64"/>
      <c r="G154" s="64"/>
      <c r="H154" s="64"/>
      <c r="I154" s="64"/>
      <c r="J154" s="65">
        <f t="shared" si="3"/>
        <v>11.340422463599998</v>
      </c>
      <c r="K154" s="65">
        <f t="shared" si="3"/>
        <v>11.340422463599998</v>
      </c>
      <c r="L154" s="65">
        <f t="shared" si="3"/>
        <v>11.340422463599998</v>
      </c>
      <c r="M154" s="65">
        <f t="shared" si="3"/>
        <v>11.340422463599998</v>
      </c>
      <c r="N154" s="65">
        <f t="shared" si="3"/>
        <v>11.340422463599998</v>
      </c>
    </row>
    <row r="155" spans="1:14" ht="49.8" customHeight="1" x14ac:dyDescent="0.3">
      <c r="A155" s="1"/>
      <c r="B155" s="20" t="s">
        <v>155</v>
      </c>
      <c r="C155" s="38"/>
      <c r="D155" s="64"/>
      <c r="E155" s="64"/>
      <c r="F155" s="64"/>
      <c r="G155" s="64"/>
      <c r="H155" s="64"/>
      <c r="I155" s="64"/>
      <c r="J155" s="65"/>
      <c r="K155" s="65"/>
      <c r="L155" s="65"/>
      <c r="M155" s="65"/>
      <c r="N155" s="65"/>
    </row>
    <row r="156" spans="1:14" x14ac:dyDescent="0.3">
      <c r="A156" s="1"/>
      <c r="B156" s="8" t="s">
        <v>120</v>
      </c>
      <c r="C156" s="38"/>
      <c r="D156" s="64"/>
      <c r="E156" s="64"/>
      <c r="F156" s="64"/>
      <c r="G156" s="64"/>
      <c r="H156" s="64"/>
      <c r="I156" s="64"/>
      <c r="J156" s="65">
        <f t="shared" ref="J156:N157" si="4">-(J105-I105)</f>
        <v>3.9947561500001711</v>
      </c>
      <c r="K156" s="65">
        <f t="shared" si="4"/>
        <v>-22.428146827799992</v>
      </c>
      <c r="L156" s="65">
        <f t="shared" si="4"/>
        <v>-26.349868501689684</v>
      </c>
      <c r="M156" s="65">
        <f t="shared" si="4"/>
        <v>-21.244581479487124</v>
      </c>
      <c r="N156" s="65">
        <f t="shared" si="4"/>
        <v>-19.16261249449758</v>
      </c>
    </row>
    <row r="157" spans="1:14" x14ac:dyDescent="0.3">
      <c r="A157" s="1"/>
      <c r="B157" s="8" t="s">
        <v>121</v>
      </c>
      <c r="C157" s="38"/>
      <c r="D157" s="64"/>
      <c r="E157" s="64"/>
      <c r="F157" s="64"/>
      <c r="G157" s="64"/>
      <c r="H157" s="64"/>
      <c r="I157" s="64"/>
      <c r="J157" s="65">
        <f t="shared" si="4"/>
        <v>-0.58670592760000773</v>
      </c>
      <c r="K157" s="65">
        <f t="shared" si="4"/>
        <v>-4.7764277659728123</v>
      </c>
      <c r="L157" s="65">
        <f t="shared" si="4"/>
        <v>-5.611620278194323</v>
      </c>
      <c r="M157" s="65">
        <f t="shared" si="4"/>
        <v>-4.5243688492941772</v>
      </c>
      <c r="N157" s="65">
        <f t="shared" si="4"/>
        <v>-4.0809807020633571</v>
      </c>
    </row>
    <row r="158" spans="1:14" x14ac:dyDescent="0.3">
      <c r="A158" s="1"/>
      <c r="B158" s="8" t="s">
        <v>156</v>
      </c>
      <c r="C158" s="38"/>
      <c r="D158" s="64"/>
      <c r="E158" s="64"/>
      <c r="F158" s="64"/>
      <c r="G158" s="64"/>
      <c r="H158" s="64"/>
      <c r="I158" s="64"/>
      <c r="J158" s="65">
        <f t="shared" ref="J158:N159" si="5">J121-I121</f>
        <v>4.9071689999999535</v>
      </c>
      <c r="K158" s="65">
        <f t="shared" si="5"/>
        <v>20.297400732000028</v>
      </c>
      <c r="L158" s="65">
        <f t="shared" si="5"/>
        <v>23.846546231424099</v>
      </c>
      <c r="M158" s="65">
        <f t="shared" si="5"/>
        <v>19.226277899085403</v>
      </c>
      <c r="N158" s="65">
        <f t="shared" si="5"/>
        <v>17.3421026649753</v>
      </c>
    </row>
    <row r="159" spans="1:14" x14ac:dyDescent="0.3">
      <c r="A159" s="1"/>
      <c r="B159" s="14" t="s">
        <v>132</v>
      </c>
      <c r="C159" s="75"/>
      <c r="D159" s="64"/>
      <c r="E159" s="64"/>
      <c r="F159" s="64"/>
      <c r="G159" s="64"/>
      <c r="H159" s="64"/>
      <c r="I159" s="64"/>
      <c r="J159" s="65">
        <f t="shared" si="5"/>
        <v>-11.388617200400063</v>
      </c>
      <c r="K159" s="65">
        <f t="shared" si="5"/>
        <v>13.681118718388859</v>
      </c>
      <c r="L159" s="65">
        <f t="shared" si="5"/>
        <v>16.07336004857558</v>
      </c>
      <c r="M159" s="65">
        <f t="shared" si="5"/>
        <v>12.959146539164067</v>
      </c>
      <c r="N159" s="65">
        <f t="shared" si="5"/>
        <v>11.689150178326145</v>
      </c>
    </row>
    <row r="160" spans="1:14" ht="50.4" customHeight="1" x14ac:dyDescent="0.3">
      <c r="A160" s="1"/>
      <c r="B160" s="13" t="s">
        <v>157</v>
      </c>
      <c r="C160" s="38"/>
      <c r="D160" s="64"/>
      <c r="E160" s="64"/>
      <c r="F160" s="64"/>
      <c r="G160" s="64"/>
      <c r="H160" s="64"/>
      <c r="I160" s="64"/>
      <c r="J160" s="65">
        <f ca="1">J150+J151+J152+J153+J154+J156+J157+J158+J159</f>
        <v>431.05737522400051</v>
      </c>
      <c r="K160" s="65">
        <f ca="1">K150+K151+K152+K153+K154+K156+K157+K158+K159</f>
        <v>455.25585168187217</v>
      </c>
      <c r="L160" s="65">
        <f ca="1">L150+L151+L152+L153+L154+L156+L157+L158+L159</f>
        <v>469.01278025321091</v>
      </c>
      <c r="M160" s="65">
        <f ca="1">M150+M151+M152+M153+M154+M156+M157+M158+M159</f>
        <v>475.03096922035934</v>
      </c>
      <c r="N160" s="65">
        <f ca="1">N150+N151+N152+N153+N154+N156+N157+N158+N159</f>
        <v>484.23024645789388</v>
      </c>
    </row>
    <row r="161" spans="1:14" x14ac:dyDescent="0.3">
      <c r="A161" s="1"/>
      <c r="B161" s="2"/>
      <c r="C161" s="38"/>
      <c r="D161" s="64"/>
      <c r="E161" s="64"/>
      <c r="F161" s="64"/>
      <c r="G161" s="64"/>
      <c r="H161" s="64"/>
      <c r="I161" s="64"/>
      <c r="J161" s="65"/>
      <c r="K161" s="65"/>
      <c r="L161" s="65"/>
      <c r="M161" s="65"/>
      <c r="N161" s="65"/>
    </row>
    <row r="162" spans="1:14" x14ac:dyDescent="0.3">
      <c r="A162" s="1"/>
      <c r="B162" s="14" t="s">
        <v>158</v>
      </c>
      <c r="C162" s="75"/>
      <c r="D162" s="64"/>
      <c r="E162" s="64"/>
      <c r="F162" s="64"/>
      <c r="G162" s="64"/>
      <c r="H162" s="64"/>
      <c r="I162" s="64"/>
      <c r="J162" s="65">
        <f>-J82*J77</f>
        <v>-152.14706999999999</v>
      </c>
      <c r="K162" s="65">
        <f>-K82*K77</f>
        <v>-156.40718795999999</v>
      </c>
      <c r="L162" s="65">
        <f>-L82*L77</f>
        <v>-161.41221797471999</v>
      </c>
      <c r="M162" s="65">
        <f>-M82*M77</f>
        <v>-165.44752342408796</v>
      </c>
      <c r="N162" s="65">
        <f>-N82*N77</f>
        <v>-169.08736893941793</v>
      </c>
    </row>
    <row r="163" spans="1:14" x14ac:dyDescent="0.3">
      <c r="A163" s="1"/>
      <c r="B163" s="13" t="s">
        <v>159</v>
      </c>
      <c r="C163" s="38"/>
      <c r="D163" s="64"/>
      <c r="E163" s="64"/>
      <c r="F163" s="64"/>
      <c r="G163" s="64"/>
      <c r="H163" s="64"/>
      <c r="I163" s="64"/>
      <c r="J163" s="65">
        <f>J162</f>
        <v>-152.14706999999999</v>
      </c>
      <c r="K163" s="65">
        <f>K162</f>
        <v>-156.40718795999999</v>
      </c>
      <c r="L163" s="65">
        <f>L162</f>
        <v>-161.41221797471999</v>
      </c>
      <c r="M163" s="65">
        <f>M162</f>
        <v>-165.44752342408796</v>
      </c>
      <c r="N163" s="65">
        <f>N162</f>
        <v>-169.08736893941793</v>
      </c>
    </row>
    <row r="164" spans="1:14" x14ac:dyDescent="0.3">
      <c r="A164" s="1"/>
      <c r="B164" s="2"/>
      <c r="C164" s="38"/>
      <c r="D164" s="64"/>
      <c r="E164" s="64"/>
      <c r="F164" s="64"/>
      <c r="G164" s="64"/>
      <c r="H164" s="64"/>
      <c r="I164" s="64"/>
      <c r="J164" s="65"/>
      <c r="K164" s="65"/>
      <c r="L164" s="65"/>
      <c r="M164" s="65"/>
      <c r="N164" s="65"/>
    </row>
    <row r="165" spans="1:14" x14ac:dyDescent="0.3">
      <c r="A165" s="1"/>
      <c r="B165" s="13" t="s">
        <v>160</v>
      </c>
      <c r="C165" s="38"/>
      <c r="D165" s="64"/>
      <c r="E165" s="64"/>
      <c r="F165" s="64"/>
      <c r="G165" s="64"/>
      <c r="H165" s="64"/>
      <c r="I165" s="64"/>
      <c r="J165" s="65">
        <f ca="1">J160+J163</f>
        <v>278.91030522400052</v>
      </c>
      <c r="K165" s="65">
        <f ca="1">K160+K163</f>
        <v>298.84866372187219</v>
      </c>
      <c r="L165" s="65">
        <f ca="1">L160+L163</f>
        <v>307.60056227849088</v>
      </c>
      <c r="M165" s="65">
        <f ca="1">M160+M163</f>
        <v>309.58344579627135</v>
      </c>
      <c r="N165" s="65">
        <f ca="1">N160+N163</f>
        <v>315.14287751847598</v>
      </c>
    </row>
    <row r="166" spans="1:14" x14ac:dyDescent="0.3">
      <c r="A166" s="1"/>
      <c r="B166" s="2"/>
      <c r="C166" s="38"/>
      <c r="D166" s="64"/>
      <c r="E166" s="64"/>
      <c r="F166" s="64"/>
      <c r="G166" s="64"/>
      <c r="H166" s="64"/>
      <c r="I166" s="64"/>
      <c r="J166" s="65"/>
      <c r="K166" s="65"/>
      <c r="L166" s="65"/>
      <c r="M166" s="65"/>
      <c r="N166" s="65"/>
    </row>
    <row r="167" spans="1:14" x14ac:dyDescent="0.3">
      <c r="A167" s="1"/>
      <c r="B167" s="8" t="s">
        <v>161</v>
      </c>
      <c r="C167" s="38"/>
      <c r="D167" s="64"/>
      <c r="E167" s="64"/>
      <c r="F167" s="64"/>
      <c r="G167" s="64"/>
      <c r="H167" s="64"/>
      <c r="I167" s="64"/>
      <c r="J167" s="65">
        <f>-I120</f>
        <v>-100</v>
      </c>
      <c r="K167" s="65" t="s">
        <v>136</v>
      </c>
      <c r="L167" s="65" t="s">
        <v>136</v>
      </c>
      <c r="M167" s="65" t="s">
        <v>136</v>
      </c>
      <c r="N167" s="65" t="s">
        <v>136</v>
      </c>
    </row>
    <row r="168" spans="1:14" x14ac:dyDescent="0.3">
      <c r="A168" s="1"/>
      <c r="B168" s="8" t="s">
        <v>162</v>
      </c>
      <c r="C168" s="38"/>
      <c r="D168" s="64"/>
      <c r="E168" s="64"/>
      <c r="F168" s="64"/>
      <c r="G168" s="64"/>
      <c r="H168" s="64"/>
      <c r="I168" s="64"/>
      <c r="J168" s="65">
        <f t="shared" ref="J168:N169" ca="1" si="6">-(J207+J214)</f>
        <v>-295.96137580408049</v>
      </c>
      <c r="K168" s="65">
        <f t="shared" ca="1" si="6"/>
        <v>-273.89973430195215</v>
      </c>
      <c r="L168" s="65">
        <f t="shared" ca="1" si="6"/>
        <v>-223.96888989396734</v>
      </c>
      <c r="M168" s="65">
        <f t="shared" ca="1" si="6"/>
        <v>0</v>
      </c>
      <c r="N168" s="65">
        <f t="shared" ca="1" si="6"/>
        <v>0</v>
      </c>
    </row>
    <row r="169" spans="1:14" x14ac:dyDescent="0.3">
      <c r="A169" s="1"/>
      <c r="B169" s="8" t="s">
        <v>163</v>
      </c>
      <c r="C169" s="38"/>
      <c r="D169" s="64"/>
      <c r="E169" s="64"/>
      <c r="F169" s="64"/>
      <c r="G169" s="64"/>
      <c r="H169" s="64"/>
      <c r="I169" s="64"/>
      <c r="J169" s="65">
        <f t="shared" ca="1" si="6"/>
        <v>-24.948929419920002</v>
      </c>
      <c r="K169" s="65">
        <f t="shared" ca="1" si="6"/>
        <v>-24.948929419920002</v>
      </c>
      <c r="L169" s="65">
        <f t="shared" ca="1" si="6"/>
        <v>-83.631672384523512</v>
      </c>
      <c r="M169" s="65">
        <f t="shared" ca="1" si="6"/>
        <v>-309.58344579627135</v>
      </c>
      <c r="N169" s="65">
        <f t="shared" ca="1" si="6"/>
        <v>-315.14287751847598</v>
      </c>
    </row>
    <row r="170" spans="1:14" x14ac:dyDescent="0.3">
      <c r="A170" s="1"/>
      <c r="B170" s="14" t="s">
        <v>164</v>
      </c>
      <c r="C170" s="75"/>
      <c r="D170" s="64"/>
      <c r="E170" s="64"/>
      <c r="F170" s="64"/>
      <c r="G170" s="64"/>
      <c r="H170" s="64"/>
      <c r="I170" s="64"/>
      <c r="J170" s="65" t="s">
        <v>136</v>
      </c>
      <c r="K170" s="65" t="s">
        <v>136</v>
      </c>
      <c r="L170" s="65" t="s">
        <v>136</v>
      </c>
      <c r="M170" s="65" t="s">
        <v>136</v>
      </c>
      <c r="N170" s="65" t="s">
        <v>136</v>
      </c>
    </row>
    <row r="171" spans="1:14" x14ac:dyDescent="0.3">
      <c r="A171" s="1"/>
      <c r="B171" s="13" t="s">
        <v>165</v>
      </c>
      <c r="C171" s="38"/>
      <c r="D171" s="64"/>
      <c r="E171" s="64"/>
      <c r="F171" s="64"/>
      <c r="G171" s="64"/>
      <c r="H171" s="64"/>
      <c r="I171" s="64"/>
      <c r="J171" s="65">
        <f ca="1">J167+J168+J169+J170</f>
        <v>-420.91030522400047</v>
      </c>
      <c r="K171" s="65">
        <f ca="1">K167+K168+K169+K170</f>
        <v>-298.84866372187213</v>
      </c>
      <c r="L171" s="65">
        <f ca="1">L167+L168+L169+L170</f>
        <v>-307.60056227849088</v>
      </c>
      <c r="M171" s="65">
        <f ca="1">M167+M168+M169+M170</f>
        <v>-309.58344579627135</v>
      </c>
      <c r="N171" s="65">
        <f ca="1">N167+N168+N169+N170</f>
        <v>-315.14287751847598</v>
      </c>
    </row>
    <row r="172" spans="1:14" x14ac:dyDescent="0.3">
      <c r="A172" s="1"/>
      <c r="B172" s="2"/>
      <c r="C172" s="38"/>
      <c r="D172" s="64"/>
      <c r="E172" s="64"/>
      <c r="F172" s="64"/>
      <c r="G172" s="64"/>
      <c r="H172" s="64"/>
      <c r="I172" s="64"/>
      <c r="J172" s="65"/>
      <c r="K172" s="65"/>
      <c r="L172" s="65"/>
      <c r="M172" s="65"/>
      <c r="N172" s="65"/>
    </row>
    <row r="173" spans="1:14" x14ac:dyDescent="0.3">
      <c r="A173" s="1"/>
      <c r="B173" s="13" t="s">
        <v>166</v>
      </c>
      <c r="C173" s="38"/>
      <c r="D173" s="64"/>
      <c r="E173" s="64"/>
      <c r="F173" s="64"/>
      <c r="G173" s="64"/>
      <c r="H173" s="64"/>
      <c r="I173" s="64"/>
      <c r="J173" s="65">
        <f ca="1">J165+J171</f>
        <v>-141.99999999999994</v>
      </c>
      <c r="K173" s="65">
        <f ca="1">K165+K171</f>
        <v>0</v>
      </c>
      <c r="L173" s="65">
        <f ca="1">L165+L171</f>
        <v>0</v>
      </c>
      <c r="M173" s="65">
        <f ca="1">M165+M171</f>
        <v>0</v>
      </c>
      <c r="N173" s="65">
        <f ca="1">N165+N171</f>
        <v>0</v>
      </c>
    </row>
    <row r="174" spans="1:14" x14ac:dyDescent="0.3">
      <c r="A174" s="1"/>
      <c r="B174" s="2"/>
      <c r="C174" s="38"/>
      <c r="D174" s="64"/>
      <c r="E174" s="64"/>
      <c r="F174" s="64"/>
      <c r="G174" s="64"/>
      <c r="H174" s="64"/>
      <c r="I174" s="64"/>
      <c r="J174" s="65"/>
      <c r="K174" s="65"/>
      <c r="L174" s="65"/>
      <c r="M174" s="65"/>
      <c r="N174" s="65"/>
    </row>
    <row r="175" spans="1:14" x14ac:dyDescent="0.3">
      <c r="A175" s="1"/>
      <c r="B175" s="8" t="s">
        <v>167</v>
      </c>
      <c r="C175" s="38"/>
      <c r="D175" s="64"/>
      <c r="E175" s="64"/>
      <c r="F175" s="64"/>
      <c r="G175" s="64"/>
      <c r="H175" s="64"/>
      <c r="I175" s="64"/>
      <c r="J175" s="65">
        <f>I104</f>
        <v>192</v>
      </c>
      <c r="K175" s="65">
        <f>J176</f>
        <v>50</v>
      </c>
      <c r="L175" s="65">
        <f>K176</f>
        <v>50</v>
      </c>
      <c r="M175" s="65">
        <f>L176</f>
        <v>50</v>
      </c>
      <c r="N175" s="65">
        <f>M176</f>
        <v>50</v>
      </c>
    </row>
    <row r="176" spans="1:14" ht="15.6" customHeight="1" x14ac:dyDescent="0.3">
      <c r="A176" s="1"/>
      <c r="B176" s="13" t="s">
        <v>168</v>
      </c>
      <c r="C176" s="38"/>
      <c r="D176" s="64"/>
      <c r="E176" s="64"/>
      <c r="F176" s="64"/>
      <c r="G176" s="64"/>
      <c r="H176" s="64"/>
      <c r="I176" s="64"/>
      <c r="J176" s="65">
        <f>$I$15</f>
        <v>50</v>
      </c>
      <c r="K176" s="65">
        <f>$I$15</f>
        <v>50</v>
      </c>
      <c r="L176" s="65">
        <f>$I$15</f>
        <v>50</v>
      </c>
      <c r="M176" s="65">
        <f>$I$15</f>
        <v>50</v>
      </c>
      <c r="N176" s="65">
        <f>$I$15</f>
        <v>50</v>
      </c>
    </row>
    <row r="177" spans="1:14" x14ac:dyDescent="0.3">
      <c r="A177" s="1"/>
      <c r="B177" s="2"/>
      <c r="C177" s="38"/>
      <c r="D177" s="59"/>
      <c r="E177" s="59"/>
      <c r="F177" s="59"/>
      <c r="G177" s="59"/>
      <c r="H177" s="59"/>
      <c r="I177" s="59"/>
      <c r="J177" s="119"/>
      <c r="K177" s="119"/>
      <c r="L177" s="119"/>
      <c r="M177" s="119"/>
      <c r="N177" s="119"/>
    </row>
    <row r="178" spans="1:14" ht="19.95" customHeight="1" x14ac:dyDescent="0.3">
      <c r="A178" s="1"/>
      <c r="B178" s="19" t="s">
        <v>169</v>
      </c>
      <c r="C178" s="37"/>
      <c r="D178" s="60"/>
      <c r="E178" s="60"/>
      <c r="F178" s="60"/>
      <c r="G178" s="60"/>
      <c r="H178" s="60"/>
      <c r="I178" s="60"/>
      <c r="J178" s="120"/>
      <c r="K178" s="120"/>
      <c r="L178" s="120"/>
      <c r="M178" s="120"/>
      <c r="N178" s="120"/>
    </row>
    <row r="179" spans="1:14" ht="14.4" customHeight="1" x14ac:dyDescent="0.3">
      <c r="A179" s="1"/>
      <c r="B179" s="2"/>
      <c r="C179" s="38"/>
      <c r="D179" s="178" t="s">
        <v>86</v>
      </c>
      <c r="E179" s="179"/>
      <c r="F179" s="179"/>
      <c r="G179" s="55"/>
      <c r="H179" s="55"/>
      <c r="I179" s="55"/>
      <c r="J179" s="182" t="s">
        <v>88</v>
      </c>
      <c r="K179" s="183"/>
      <c r="L179" s="183"/>
      <c r="M179" s="183"/>
      <c r="N179" s="183"/>
    </row>
    <row r="180" spans="1:14" x14ac:dyDescent="0.3">
      <c r="A180" s="1"/>
      <c r="B180" s="2"/>
      <c r="C180" s="38"/>
      <c r="D180" s="56">
        <v>2012</v>
      </c>
      <c r="E180" s="56">
        <v>2013</v>
      </c>
      <c r="F180" s="56">
        <v>2014</v>
      </c>
      <c r="G180" s="56"/>
      <c r="H180" s="56"/>
      <c r="I180" s="56"/>
      <c r="J180" s="118">
        <v>2015</v>
      </c>
      <c r="K180" s="118">
        <v>2016</v>
      </c>
      <c r="L180" s="118">
        <v>2017</v>
      </c>
      <c r="M180" s="118">
        <v>2018</v>
      </c>
      <c r="N180" s="118">
        <v>2019</v>
      </c>
    </row>
    <row r="181" spans="1:14" x14ac:dyDescent="0.3">
      <c r="A181" s="1"/>
      <c r="B181" s="20" t="s">
        <v>170</v>
      </c>
      <c r="C181" s="38"/>
      <c r="D181" s="86"/>
      <c r="E181" s="86"/>
      <c r="F181" s="86"/>
      <c r="G181" s="86"/>
      <c r="H181" s="86"/>
      <c r="I181" s="86"/>
      <c r="J181" s="121">
        <v>3.0000000000000001E-3</v>
      </c>
      <c r="K181" s="121">
        <v>3.5000000000000001E-3</v>
      </c>
      <c r="L181" s="121">
        <v>7.4999999999999997E-3</v>
      </c>
      <c r="M181" s="121">
        <v>1.55E-2</v>
      </c>
      <c r="N181" s="121">
        <v>0.02</v>
      </c>
    </row>
    <row r="182" spans="1:14" x14ac:dyDescent="0.3">
      <c r="A182" s="1"/>
      <c r="B182" s="2"/>
      <c r="C182" s="38"/>
      <c r="D182" s="59"/>
      <c r="E182" s="59"/>
      <c r="F182" s="87" t="s">
        <v>171</v>
      </c>
      <c r="G182" s="59"/>
      <c r="H182" s="59"/>
      <c r="I182" s="59"/>
      <c r="J182" s="119"/>
      <c r="K182" s="119"/>
      <c r="L182" s="119"/>
      <c r="M182" s="119"/>
      <c r="N182" s="119"/>
    </row>
    <row r="183" spans="1:14" x14ac:dyDescent="0.3">
      <c r="A183" s="1"/>
      <c r="B183" s="20" t="s">
        <v>172</v>
      </c>
      <c r="C183" s="38"/>
      <c r="D183" s="59"/>
      <c r="E183" s="87"/>
      <c r="F183" s="87" t="s">
        <v>173</v>
      </c>
      <c r="G183" s="59"/>
      <c r="H183" s="59"/>
      <c r="I183" s="59"/>
      <c r="J183" s="119"/>
      <c r="K183" s="119"/>
      <c r="L183" s="119"/>
      <c r="M183" s="119"/>
      <c r="N183" s="119"/>
    </row>
    <row r="184" spans="1:14" x14ac:dyDescent="0.3">
      <c r="A184" s="1"/>
      <c r="B184" s="2" t="s">
        <v>46</v>
      </c>
      <c r="C184" s="38"/>
      <c r="D184" s="88"/>
      <c r="E184" s="9">
        <v>2.2499999999999999E-2</v>
      </c>
      <c r="F184" s="88"/>
      <c r="G184" s="88"/>
      <c r="H184" s="88"/>
      <c r="I184" s="88"/>
      <c r="J184" s="131">
        <v>2.5499999999999998E-2</v>
      </c>
      <c r="K184" s="131">
        <v>2.5999999999999999E-2</v>
      </c>
      <c r="L184" s="131">
        <v>0.03</v>
      </c>
      <c r="M184" s="131">
        <v>3.7999999999999999E-2</v>
      </c>
      <c r="N184" s="131">
        <v>4.2500000000000003E-2</v>
      </c>
    </row>
    <row r="185" spans="1:14" x14ac:dyDescent="0.3">
      <c r="A185" s="1"/>
      <c r="B185" s="2" t="s">
        <v>49</v>
      </c>
      <c r="C185" s="38"/>
      <c r="D185" s="88"/>
      <c r="E185" s="88"/>
      <c r="F185" s="9">
        <v>6.25E-2</v>
      </c>
      <c r="G185" s="88"/>
      <c r="H185" s="88"/>
      <c r="I185" s="88"/>
      <c r="J185" s="131">
        <v>6.25E-2</v>
      </c>
      <c r="K185" s="131">
        <v>6.25E-2</v>
      </c>
      <c r="L185" s="131">
        <v>6.25E-2</v>
      </c>
      <c r="M185" s="131">
        <v>6.25E-2</v>
      </c>
      <c r="N185" s="131">
        <v>6.25E-2</v>
      </c>
    </row>
    <row r="186" spans="1:14" x14ac:dyDescent="0.3">
      <c r="A186" s="1"/>
      <c r="B186" s="2" t="s">
        <v>50</v>
      </c>
      <c r="C186" s="38"/>
      <c r="D186" s="88"/>
      <c r="E186" s="9">
        <v>3.7499999999999999E-2</v>
      </c>
      <c r="F186" s="88"/>
      <c r="G186" s="88"/>
      <c r="H186" s="88"/>
      <c r="I186" s="88"/>
      <c r="J186" s="131">
        <v>4.0500000000000001E-2</v>
      </c>
      <c r="K186" s="131">
        <v>4.1000000000000002E-2</v>
      </c>
      <c r="L186" s="131">
        <v>4.4999999999999998E-2</v>
      </c>
      <c r="M186" s="131">
        <v>5.2999999999999999E-2</v>
      </c>
      <c r="N186" s="131">
        <v>5.7500000000000002E-2</v>
      </c>
    </row>
    <row r="187" spans="1:14" x14ac:dyDescent="0.3">
      <c r="A187" s="1"/>
      <c r="B187" s="2" t="s">
        <v>52</v>
      </c>
      <c r="C187" s="38"/>
      <c r="D187" s="88"/>
      <c r="E187" s="88"/>
      <c r="F187" s="9">
        <v>0.12</v>
      </c>
      <c r="G187" s="88"/>
      <c r="H187" s="88"/>
      <c r="I187" s="88"/>
      <c r="J187" s="131">
        <v>0.12</v>
      </c>
      <c r="K187" s="131">
        <v>0.12</v>
      </c>
      <c r="L187" s="131">
        <v>0.12</v>
      </c>
      <c r="M187" s="131">
        <v>0.12</v>
      </c>
      <c r="N187" s="131">
        <v>0.12</v>
      </c>
    </row>
    <row r="188" spans="1:14" x14ac:dyDescent="0.3">
      <c r="A188" s="1"/>
      <c r="B188" s="2"/>
      <c r="C188" s="38"/>
      <c r="D188" s="59"/>
      <c r="E188" s="59"/>
      <c r="F188" s="59"/>
      <c r="G188" s="59"/>
      <c r="H188" s="59"/>
      <c r="I188" s="59"/>
      <c r="J188" s="119"/>
      <c r="K188" s="119"/>
      <c r="L188" s="119"/>
      <c r="M188" s="119"/>
      <c r="N188" s="119"/>
    </row>
    <row r="189" spans="1:14" x14ac:dyDescent="0.3">
      <c r="A189" s="1"/>
      <c r="B189" s="20" t="s">
        <v>174</v>
      </c>
      <c r="C189" s="38"/>
      <c r="D189" s="59"/>
      <c r="E189" s="59"/>
      <c r="F189" s="59"/>
      <c r="G189" s="59"/>
      <c r="H189" s="59"/>
      <c r="I189" s="59"/>
      <c r="J189" s="119"/>
      <c r="K189" s="119"/>
      <c r="L189" s="119"/>
      <c r="M189" s="119"/>
      <c r="N189" s="119"/>
    </row>
    <row r="190" spans="1:14" x14ac:dyDescent="0.3">
      <c r="A190" s="1"/>
      <c r="B190" s="2" t="s">
        <v>46</v>
      </c>
      <c r="C190" s="38"/>
      <c r="D190" s="64"/>
      <c r="E190" s="64"/>
      <c r="F190" s="64"/>
      <c r="G190" s="64"/>
      <c r="H190" s="64"/>
      <c r="I190" s="64"/>
      <c r="J190" s="105">
        <f>-AVERAGE(I120,J120)*J184</f>
        <v>-1.2749999999999999</v>
      </c>
      <c r="K190" s="105">
        <f>-AVERAGE(J120,K120)*K184</f>
        <v>0</v>
      </c>
      <c r="L190" s="105">
        <f>-AVERAGE(K120,L120)*L184</f>
        <v>0</v>
      </c>
      <c r="M190" s="105">
        <f>-AVERAGE(L120,M120)*M184</f>
        <v>0</v>
      </c>
      <c r="N190" s="105">
        <f>-AVERAGE(M120,N120)*N184</f>
        <v>0</v>
      </c>
    </row>
    <row r="191" spans="1:14" x14ac:dyDescent="0.3">
      <c r="A191" s="1"/>
      <c r="B191" s="2" t="s">
        <v>49</v>
      </c>
      <c r="C191" s="38"/>
      <c r="D191" s="64"/>
      <c r="E191" s="64"/>
      <c r="F191" s="64"/>
      <c r="G191" s="64"/>
      <c r="H191" s="64"/>
      <c r="I191" s="64"/>
      <c r="J191" s="105">
        <f t="shared" ref="J191:N192" ca="1" si="7">-AVERAGE(I127,J127)*J185</f>
        <v>-40.365582006122487</v>
      </c>
      <c r="K191" s="105">
        <f t="shared" ca="1" si="7"/>
        <v>-22.557422315308962</v>
      </c>
      <c r="L191" s="105">
        <f t="shared" ca="1" si="7"/>
        <v>-6.9990278091864795</v>
      </c>
      <c r="M191" s="105">
        <f t="shared" ca="1" si="7"/>
        <v>0</v>
      </c>
      <c r="N191" s="105">
        <f t="shared" ca="1" si="7"/>
        <v>0</v>
      </c>
    </row>
    <row r="192" spans="1:14" x14ac:dyDescent="0.3">
      <c r="A192" s="1"/>
      <c r="B192" s="2" t="s">
        <v>50</v>
      </c>
      <c r="C192" s="38"/>
      <c r="D192" s="64"/>
      <c r="E192" s="64"/>
      <c r="F192" s="64"/>
      <c r="G192" s="64"/>
      <c r="H192" s="64"/>
      <c r="I192" s="64"/>
      <c r="J192" s="105">
        <f t="shared" si="7"/>
        <v>-100.53782977499999</v>
      </c>
      <c r="K192" s="105">
        <f t="shared" ca="1" si="7"/>
        <v>-100.75613204689164</v>
      </c>
      <c r="L192" s="105">
        <f t="shared" ca="1" si="7"/>
        <v>-108.1429350474518</v>
      </c>
      <c r="M192" s="105">
        <f t="shared" ca="1" si="7"/>
        <v>-116.94814509076325</v>
      </c>
      <c r="N192" s="105">
        <f t="shared" ca="1" si="7"/>
        <v>-108.91682278430268</v>
      </c>
    </row>
    <row r="193" spans="1:14" x14ac:dyDescent="0.3">
      <c r="A193" s="1"/>
      <c r="B193" s="2" t="s">
        <v>52</v>
      </c>
      <c r="C193" s="38"/>
      <c r="D193" s="64"/>
      <c r="E193" s="64"/>
      <c r="F193" s="64"/>
      <c r="G193" s="64"/>
      <c r="H193" s="64"/>
      <c r="I193" s="64"/>
      <c r="J193" s="105">
        <f>-J187*$D$35</f>
        <v>-27.217013912639995</v>
      </c>
      <c r="K193" s="105">
        <f>-K187*$D$35</f>
        <v>-27.217013912639995</v>
      </c>
      <c r="L193" s="105">
        <f>-L187*$D$35</f>
        <v>-27.217013912639995</v>
      </c>
      <c r="M193" s="105">
        <f>-M187*$D$35</f>
        <v>-27.217013912639995</v>
      </c>
      <c r="N193" s="105">
        <f>-N187*$D$35</f>
        <v>-27.217013912639995</v>
      </c>
    </row>
    <row r="194" spans="1:14" x14ac:dyDescent="0.3">
      <c r="A194" s="1"/>
      <c r="B194" s="7" t="s">
        <v>175</v>
      </c>
      <c r="C194" s="75"/>
      <c r="D194" s="64"/>
      <c r="E194" s="64"/>
      <c r="F194" s="64"/>
      <c r="G194" s="64"/>
      <c r="H194" s="64"/>
      <c r="I194" s="64"/>
      <c r="J194" s="105">
        <f>AVERAGE(I104,J104)*J181</f>
        <v>0.36299999999999999</v>
      </c>
      <c r="K194" s="105">
        <f>AVERAGE(J104,K104)*K181</f>
        <v>0.17500000000000002</v>
      </c>
      <c r="L194" s="105">
        <f>AVERAGE(K104,L104)*L181</f>
        <v>0.375</v>
      </c>
      <c r="M194" s="105">
        <f>AVERAGE(L104,M104)*M181</f>
        <v>0.77500000000000002</v>
      </c>
      <c r="N194" s="105">
        <f>AVERAGE(M104,N104)*N181</f>
        <v>1</v>
      </c>
    </row>
    <row r="195" spans="1:14" x14ac:dyDescent="0.3">
      <c r="A195" s="1"/>
      <c r="B195" s="6" t="s">
        <v>176</v>
      </c>
      <c r="C195" s="38"/>
      <c r="D195" s="64"/>
      <c r="E195" s="64"/>
      <c r="F195" s="64"/>
      <c r="G195" s="64"/>
      <c r="H195" s="64"/>
      <c r="I195" s="64"/>
      <c r="J195" s="105">
        <f ca="1">SUM(J190:J194)</f>
        <v>-169.03242569376246</v>
      </c>
      <c r="K195" s="105">
        <f ca="1">SUM(K190:K194)</f>
        <v>-150.35556827484058</v>
      </c>
      <c r="L195" s="105">
        <f ca="1">SUM(L190:L194)</f>
        <v>-141.98397676927829</v>
      </c>
      <c r="M195" s="105">
        <f ca="1">SUM(M190:M194)</f>
        <v>-143.39015900340323</v>
      </c>
      <c r="N195" s="105">
        <f ca="1">SUM(N190:N194)</f>
        <v>-135.13383669694267</v>
      </c>
    </row>
    <row r="196" spans="1:14" x14ac:dyDescent="0.3">
      <c r="A196" s="1"/>
      <c r="B196" s="2"/>
      <c r="C196" s="38"/>
      <c r="D196" s="59"/>
      <c r="E196" s="59"/>
      <c r="F196" s="59"/>
      <c r="G196" s="59"/>
      <c r="H196" s="59"/>
      <c r="I196" s="59"/>
      <c r="J196" s="119"/>
      <c r="K196" s="119"/>
      <c r="L196" s="119"/>
      <c r="M196" s="119"/>
      <c r="N196" s="119"/>
    </row>
    <row r="197" spans="1:14" x14ac:dyDescent="0.3">
      <c r="A197" s="1"/>
      <c r="B197" s="20" t="s">
        <v>177</v>
      </c>
      <c r="C197" s="38"/>
      <c r="D197" s="59"/>
      <c r="E197" s="59"/>
      <c r="F197" s="59"/>
      <c r="G197" s="59"/>
      <c r="H197" s="59"/>
      <c r="I197" s="59"/>
      <c r="J197" s="119"/>
      <c r="K197" s="119"/>
      <c r="L197" s="119"/>
      <c r="M197" s="119"/>
      <c r="N197" s="119"/>
    </row>
    <row r="198" spans="1:14" x14ac:dyDescent="0.3">
      <c r="A198" s="1"/>
      <c r="B198" s="2" t="s">
        <v>167</v>
      </c>
      <c r="C198" s="38"/>
      <c r="D198" s="64"/>
      <c r="E198" s="64"/>
      <c r="F198" s="64"/>
      <c r="G198" s="64"/>
      <c r="H198" s="64"/>
      <c r="I198" s="64"/>
      <c r="J198" s="65">
        <f>I104</f>
        <v>192</v>
      </c>
      <c r="K198" s="65">
        <f>J176</f>
        <v>50</v>
      </c>
      <c r="L198" s="65">
        <f>K176</f>
        <v>50</v>
      </c>
      <c r="M198" s="65">
        <f>L176</f>
        <v>50</v>
      </c>
      <c r="N198" s="65">
        <f>M176</f>
        <v>50</v>
      </c>
    </row>
    <row r="199" spans="1:14" x14ac:dyDescent="0.3">
      <c r="A199" s="1"/>
      <c r="B199" s="2" t="s">
        <v>178</v>
      </c>
      <c r="C199" s="38"/>
      <c r="D199" s="64"/>
      <c r="E199" s="64"/>
      <c r="F199" s="64"/>
      <c r="G199" s="64"/>
      <c r="H199" s="64"/>
      <c r="I199" s="64"/>
      <c r="J199" s="65">
        <f>-J176</f>
        <v>-50</v>
      </c>
      <c r="K199" s="65">
        <f>-K176</f>
        <v>-50</v>
      </c>
      <c r="L199" s="65">
        <f>-L176</f>
        <v>-50</v>
      </c>
      <c r="M199" s="65">
        <f>-M176</f>
        <v>-50</v>
      </c>
      <c r="N199" s="65">
        <f>-N176</f>
        <v>-50</v>
      </c>
    </row>
    <row r="200" spans="1:14" x14ac:dyDescent="0.3">
      <c r="A200" s="1"/>
      <c r="B200" s="7" t="s">
        <v>179</v>
      </c>
      <c r="C200" s="75"/>
      <c r="D200" s="64"/>
      <c r="E200" s="64"/>
      <c r="F200" s="64"/>
      <c r="G200" s="64"/>
      <c r="H200" s="64"/>
      <c r="I200" s="64"/>
      <c r="J200" s="65">
        <f ca="1">J165</f>
        <v>278.91030522400052</v>
      </c>
      <c r="K200" s="65">
        <f ca="1">K165</f>
        <v>298.84866372187219</v>
      </c>
      <c r="L200" s="65">
        <f ca="1">L165</f>
        <v>307.60056227849088</v>
      </c>
      <c r="M200" s="65">
        <f ca="1">M165</f>
        <v>309.58344579627135</v>
      </c>
      <c r="N200" s="65">
        <f ca="1">N165</f>
        <v>315.14287751847598</v>
      </c>
    </row>
    <row r="201" spans="1:14" x14ac:dyDescent="0.3">
      <c r="A201" s="1"/>
      <c r="B201" s="6" t="s">
        <v>180</v>
      </c>
      <c r="C201" s="38"/>
      <c r="D201" s="66"/>
      <c r="E201" s="66"/>
      <c r="F201" s="66"/>
      <c r="G201" s="64"/>
      <c r="H201" s="64"/>
      <c r="I201" s="64"/>
      <c r="J201" s="67">
        <f ca="1">J198+J199+J200</f>
        <v>420.91030522400052</v>
      </c>
      <c r="K201" s="67">
        <f ca="1">K198+K199+K200</f>
        <v>298.84866372187219</v>
      </c>
      <c r="L201" s="67">
        <f ca="1">L198+L199+L200</f>
        <v>307.60056227849088</v>
      </c>
      <c r="M201" s="67">
        <f ca="1">M198+M199+M200</f>
        <v>309.58344579627135</v>
      </c>
      <c r="N201" s="67">
        <f ca="1">N198+N199+N200</f>
        <v>315.14287751847598</v>
      </c>
    </row>
    <row r="202" spans="1:14" x14ac:dyDescent="0.3">
      <c r="A202" s="1"/>
      <c r="B202" s="7" t="s">
        <v>181</v>
      </c>
      <c r="C202" s="75"/>
      <c r="D202" s="64"/>
      <c r="E202" s="64"/>
      <c r="F202" s="64"/>
      <c r="G202" s="64"/>
      <c r="H202" s="64"/>
      <c r="I202" s="64"/>
      <c r="J202" s="65">
        <f ca="1">MAX(-J201,0)</f>
        <v>0</v>
      </c>
      <c r="K202" s="65">
        <f ca="1">MAX(-K201,0)</f>
        <v>0</v>
      </c>
      <c r="L202" s="65">
        <f ca="1">MAX(-L201,0)</f>
        <v>0</v>
      </c>
      <c r="M202" s="65">
        <f ca="1">MAX(-M201,0)</f>
        <v>0</v>
      </c>
      <c r="N202" s="65">
        <f ca="1">MAX(-N201,0)</f>
        <v>0</v>
      </c>
    </row>
    <row r="203" spans="1:14" x14ac:dyDescent="0.3">
      <c r="A203" s="1"/>
      <c r="B203" s="6" t="s">
        <v>182</v>
      </c>
      <c r="C203" s="38"/>
      <c r="D203" s="66"/>
      <c r="E203" s="66"/>
      <c r="F203" s="66"/>
      <c r="G203" s="64"/>
      <c r="H203" s="64"/>
      <c r="I203" s="64"/>
      <c r="J203" s="67">
        <f ca="1">J201+J202</f>
        <v>420.91030522400052</v>
      </c>
      <c r="K203" s="67">
        <f ca="1">K201+K202</f>
        <v>298.84866372187219</v>
      </c>
      <c r="L203" s="67">
        <f ca="1">L201+L202</f>
        <v>307.60056227849088</v>
      </c>
      <c r="M203" s="67">
        <f ca="1">M201+M202</f>
        <v>309.58344579627135</v>
      </c>
      <c r="N203" s="67">
        <f ca="1">N201+N202</f>
        <v>315.14287751847598</v>
      </c>
    </row>
    <row r="204" spans="1:14" x14ac:dyDescent="0.3">
      <c r="A204" s="1"/>
      <c r="B204" s="2"/>
      <c r="C204" s="38"/>
      <c r="D204" s="64"/>
      <c r="E204" s="64"/>
      <c r="F204" s="64"/>
      <c r="G204" s="64"/>
      <c r="H204" s="64"/>
      <c r="I204" s="64"/>
      <c r="J204" s="65"/>
      <c r="K204" s="65"/>
      <c r="L204" s="65"/>
      <c r="M204" s="65"/>
      <c r="N204" s="65"/>
    </row>
    <row r="205" spans="1:14" x14ac:dyDescent="0.3">
      <c r="A205" s="1"/>
      <c r="B205" s="20" t="s">
        <v>183</v>
      </c>
      <c r="C205" s="38"/>
      <c r="D205" s="66"/>
      <c r="E205" s="66"/>
      <c r="F205" s="66"/>
      <c r="G205" s="64"/>
      <c r="H205" s="64"/>
      <c r="I205" s="64"/>
      <c r="J205" s="67"/>
      <c r="K205" s="67"/>
      <c r="L205" s="67"/>
      <c r="M205" s="67"/>
      <c r="N205" s="67"/>
    </row>
    <row r="206" spans="1:14" x14ac:dyDescent="0.3">
      <c r="A206" s="1"/>
      <c r="B206" s="2" t="s">
        <v>184</v>
      </c>
      <c r="C206" s="38"/>
      <c r="D206" s="64"/>
      <c r="E206" s="64"/>
      <c r="F206" s="64"/>
      <c r="G206" s="64"/>
      <c r="H206" s="64"/>
      <c r="I206" s="64"/>
      <c r="J206" s="65"/>
      <c r="K206" s="65"/>
      <c r="L206" s="65"/>
      <c r="M206" s="65"/>
      <c r="N206" s="65"/>
    </row>
    <row r="207" spans="1:14" x14ac:dyDescent="0.3">
      <c r="A207" s="1"/>
      <c r="B207" s="2" t="s">
        <v>49</v>
      </c>
      <c r="C207" s="38"/>
      <c r="D207" s="64"/>
      <c r="E207" s="64"/>
      <c r="F207" s="64"/>
      <c r="G207" s="64"/>
      <c r="H207" s="64"/>
      <c r="I207" s="64"/>
      <c r="J207" s="105">
        <f>MIN($D$33*$J$33, I127)</f>
        <v>79.382957245199989</v>
      </c>
      <c r="K207" s="105">
        <f ca="1">MIN($D$33*$J$33, J127)</f>
        <v>79.382957245199989</v>
      </c>
      <c r="L207" s="105">
        <f ca="1">MIN($D$33*$J$33, K127)</f>
        <v>79.382957245199989</v>
      </c>
      <c r="M207" s="105">
        <f ca="1">MIN($D$33*$J$33, L127)</f>
        <v>0</v>
      </c>
      <c r="N207" s="105">
        <f ca="1">MIN($D$33*$J$33, M127)</f>
        <v>0</v>
      </c>
    </row>
    <row r="208" spans="1:14" x14ac:dyDescent="0.3">
      <c r="A208" s="1"/>
      <c r="B208" s="2" t="s">
        <v>50</v>
      </c>
      <c r="C208" s="38"/>
      <c r="D208" s="64"/>
      <c r="E208" s="64"/>
      <c r="F208" s="64"/>
      <c r="G208" s="64"/>
      <c r="H208" s="64"/>
      <c r="I208" s="64"/>
      <c r="J208" s="105">
        <f>MIN($D$34*$J$34, I128)</f>
        <v>24.948929419920002</v>
      </c>
      <c r="K208" s="105">
        <f>MIN($D$34*$J$34, J128)</f>
        <v>24.948929419920002</v>
      </c>
      <c r="L208" s="105">
        <f ca="1">MIN($D$34*$J$34, K128)</f>
        <v>24.948929419920002</v>
      </c>
      <c r="M208" s="105">
        <f ca="1">MIN($D$34*$J$34, L128)</f>
        <v>24.948929419920002</v>
      </c>
      <c r="N208" s="105">
        <f ca="1">MIN($D$34*$J$34, M128)</f>
        <v>24.948929419920002</v>
      </c>
    </row>
    <row r="209" spans="1:14" x14ac:dyDescent="0.3">
      <c r="A209" s="1"/>
      <c r="B209" s="7" t="s">
        <v>52</v>
      </c>
      <c r="C209" s="75"/>
      <c r="D209" s="66"/>
      <c r="E209" s="66"/>
      <c r="F209" s="66"/>
      <c r="G209" s="64"/>
      <c r="H209" s="64"/>
      <c r="I209" s="64"/>
      <c r="J209" s="105">
        <f>D35*J35</f>
        <v>0</v>
      </c>
      <c r="K209" s="105">
        <f>$J$209</f>
        <v>0</v>
      </c>
      <c r="L209" s="105">
        <f>$J$209</f>
        <v>0</v>
      </c>
      <c r="M209" s="105">
        <f>$J$209</f>
        <v>0</v>
      </c>
      <c r="N209" s="105">
        <f>$J$209</f>
        <v>0</v>
      </c>
    </row>
    <row r="210" spans="1:14" x14ac:dyDescent="0.3">
      <c r="A210" s="1"/>
      <c r="B210" s="6" t="s">
        <v>185</v>
      </c>
      <c r="C210" s="38"/>
      <c r="D210" s="64"/>
      <c r="E210" s="64"/>
      <c r="F210" s="64"/>
      <c r="G210" s="64"/>
      <c r="H210" s="64"/>
      <c r="I210" s="64"/>
      <c r="J210" s="108">
        <f>J207+J208+J209</f>
        <v>104.33188666512</v>
      </c>
      <c r="K210" s="108">
        <f ca="1">K207+K208+K209</f>
        <v>104.33188666512</v>
      </c>
      <c r="L210" s="108">
        <f ca="1">L207+L208+L209</f>
        <v>104.33188666512</v>
      </c>
      <c r="M210" s="108">
        <f ca="1">M207+M208+M209</f>
        <v>24.948929419920002</v>
      </c>
      <c r="N210" s="108">
        <f ca="1">N207+N208+N209</f>
        <v>24.948929419920002</v>
      </c>
    </row>
    <row r="211" spans="1:14" x14ac:dyDescent="0.3">
      <c r="A211" s="1"/>
      <c r="B211" s="2"/>
      <c r="C211" s="38"/>
      <c r="D211" s="64"/>
      <c r="E211" s="64"/>
      <c r="F211" s="64"/>
      <c r="G211" s="64"/>
      <c r="H211" s="64"/>
      <c r="I211" s="64"/>
      <c r="J211" s="65"/>
      <c r="K211" s="65"/>
      <c r="L211" s="65"/>
      <c r="M211" s="65"/>
      <c r="N211" s="65"/>
    </row>
    <row r="212" spans="1:14" x14ac:dyDescent="0.3">
      <c r="A212" s="1"/>
      <c r="B212" s="20" t="s">
        <v>186</v>
      </c>
      <c r="C212" s="38"/>
      <c r="D212" s="64"/>
      <c r="E212" s="64"/>
      <c r="F212" s="64"/>
      <c r="G212" s="64"/>
      <c r="H212" s="64"/>
      <c r="I212" s="64"/>
      <c r="J212" s="65"/>
      <c r="K212" s="65"/>
      <c r="L212" s="65"/>
      <c r="M212" s="65"/>
      <c r="N212" s="65"/>
    </row>
    <row r="213" spans="1:14" x14ac:dyDescent="0.3">
      <c r="A213" s="1"/>
      <c r="B213" s="2" t="s">
        <v>46</v>
      </c>
      <c r="C213" s="38"/>
      <c r="D213" s="64"/>
      <c r="E213" s="64"/>
      <c r="F213" s="64"/>
      <c r="G213" s="64"/>
      <c r="H213" s="64"/>
      <c r="I213" s="64"/>
      <c r="J213" s="65">
        <f ca="1">MIN(MAX(J201-J210,0), I120)</f>
        <v>100</v>
      </c>
      <c r="K213" s="65">
        <f ca="1">MIN(MAX(K201-K210,0), J120)</f>
        <v>0</v>
      </c>
      <c r="L213" s="65">
        <f ca="1">MIN(MAX(L201-L210,0), K120)</f>
        <v>0</v>
      </c>
      <c r="M213" s="65">
        <f ca="1">MIN(MAX(M201-M210,0), L120)</f>
        <v>0</v>
      </c>
      <c r="N213" s="65">
        <f ca="1">MIN(MAX(N201-N210,0), M120)</f>
        <v>0</v>
      </c>
    </row>
    <row r="214" spans="1:14" x14ac:dyDescent="0.3">
      <c r="A214" s="1"/>
      <c r="B214" s="2" t="s">
        <v>49</v>
      </c>
      <c r="C214" s="38"/>
      <c r="D214" s="64"/>
      <c r="E214" s="64"/>
      <c r="F214" s="64"/>
      <c r="G214" s="64"/>
      <c r="H214" s="64"/>
      <c r="I214" s="64"/>
      <c r="J214" s="65">
        <f ca="1">MIN(MAX(J201-J210-J213,0), I127-J207)</f>
        <v>216.57841855888051</v>
      </c>
      <c r="K214" s="65">
        <f ca="1">MIN(MAX(K201-K210-K213,0), J127-K207)</f>
        <v>194.51677705675218</v>
      </c>
      <c r="L214" s="65">
        <f ca="1">MIN(MAX(L201-L210-L213,0), K127-L207)</f>
        <v>144.58593264876737</v>
      </c>
      <c r="M214" s="65">
        <f ca="1">MIN(MAX(M201-M210-M213,0), L127-M207)</f>
        <v>0</v>
      </c>
      <c r="N214" s="65">
        <f ca="1">MIN(MAX(N201-N210-N213,0), M127-N207)</f>
        <v>0</v>
      </c>
    </row>
    <row r="215" spans="1:14" x14ac:dyDescent="0.3">
      <c r="A215" s="1"/>
      <c r="B215" s="2" t="s">
        <v>50</v>
      </c>
      <c r="C215" s="38"/>
      <c r="D215" s="64"/>
      <c r="E215" s="64"/>
      <c r="F215" s="64"/>
      <c r="G215" s="64"/>
      <c r="H215" s="64"/>
      <c r="I215" s="64"/>
      <c r="J215" s="65">
        <f ca="1">MIN(MAX(J201-J210-J213-J214,0), I128-J208)</f>
        <v>0</v>
      </c>
      <c r="K215" s="65">
        <f ca="1">MIN(MAX(K201-K210-K213-K214,0), J128-K208)</f>
        <v>0</v>
      </c>
      <c r="L215" s="65">
        <f ca="1">MIN(MAX(L201-L210-L213-L214,0), K128-L208)</f>
        <v>58.682742964603506</v>
      </c>
      <c r="M215" s="65">
        <f ca="1">MIN(MAX(M201-M210-M213-M214,0), L128-M208)</f>
        <v>284.63451637635137</v>
      </c>
      <c r="N215" s="65">
        <f ca="1">MIN(MAX(N201-N210-N213-N214,0), M128-N208)</f>
        <v>290.19394809855601</v>
      </c>
    </row>
    <row r="216" spans="1:14" x14ac:dyDescent="0.3">
      <c r="A216" s="1"/>
      <c r="B216" s="7" t="s">
        <v>52</v>
      </c>
      <c r="C216" s="75"/>
      <c r="D216" s="64"/>
      <c r="E216" s="64"/>
      <c r="F216" s="64"/>
      <c r="G216" s="64"/>
      <c r="H216" s="64"/>
      <c r="I216" s="64"/>
      <c r="J216" s="65"/>
      <c r="K216" s="65"/>
      <c r="L216" s="65"/>
      <c r="M216" s="65"/>
      <c r="N216" s="65"/>
    </row>
    <row r="217" spans="1:14" x14ac:dyDescent="0.3">
      <c r="A217" s="1"/>
      <c r="B217" s="6" t="s">
        <v>187</v>
      </c>
      <c r="C217" s="38"/>
      <c r="D217" s="66"/>
      <c r="E217" s="66"/>
      <c r="F217" s="66"/>
      <c r="G217" s="64"/>
      <c r="H217" s="64"/>
      <c r="I217" s="64"/>
      <c r="J217" s="67">
        <f ca="1">J213+J214+J215</f>
        <v>316.57841855888051</v>
      </c>
      <c r="K217" s="67">
        <f ca="1">K213+K214+K215</f>
        <v>194.51677705675218</v>
      </c>
      <c r="L217" s="67">
        <f ca="1">L213+L214+L215</f>
        <v>203.26867561337087</v>
      </c>
      <c r="M217" s="67">
        <f ca="1">M213+M214+M215</f>
        <v>284.63451637635137</v>
      </c>
      <c r="N217" s="67">
        <f ca="1">N213+N214+N215</f>
        <v>290.19394809855601</v>
      </c>
    </row>
    <row r="218" spans="1:14" x14ac:dyDescent="0.3">
      <c r="A218" s="1"/>
      <c r="B218" s="2"/>
      <c r="C218" s="38"/>
      <c r="D218" s="64"/>
      <c r="E218" s="64"/>
      <c r="F218" s="64"/>
      <c r="G218" s="64"/>
      <c r="H218" s="64"/>
      <c r="I218" s="64"/>
      <c r="J218" s="65"/>
      <c r="K218" s="65"/>
      <c r="L218" s="65"/>
      <c r="M218" s="65"/>
      <c r="N218" s="65"/>
    </row>
    <row r="219" spans="1:14" x14ac:dyDescent="0.3">
      <c r="A219" s="1"/>
      <c r="B219" s="7" t="s">
        <v>188</v>
      </c>
      <c r="C219" s="75"/>
      <c r="D219" s="64"/>
      <c r="E219" s="64"/>
      <c r="F219" s="64"/>
      <c r="G219" s="64"/>
      <c r="H219" s="64"/>
      <c r="I219" s="64"/>
      <c r="J219" s="65">
        <f ca="1">MAX(J201-J210-J217, 0)</f>
        <v>0</v>
      </c>
      <c r="K219" s="65">
        <f ca="1">MAX(K201-K210-K217, 0)</f>
        <v>0</v>
      </c>
      <c r="L219" s="65">
        <f ca="1">MAX(L201-L210-L217, 0)</f>
        <v>0</v>
      </c>
      <c r="M219" s="65">
        <f ca="1">MAX(M201-M210-M217, 0)</f>
        <v>0</v>
      </c>
      <c r="N219" s="65">
        <f ca="1">MAX(N201-N210-N217, 0)</f>
        <v>0</v>
      </c>
    </row>
    <row r="220" spans="1:14" x14ac:dyDescent="0.3">
      <c r="A220" s="1"/>
      <c r="B220" s="6" t="s">
        <v>189</v>
      </c>
      <c r="C220" s="38"/>
      <c r="D220" s="66"/>
      <c r="E220" s="66"/>
      <c r="F220" s="66"/>
      <c r="G220" s="64"/>
      <c r="H220" s="64"/>
      <c r="I220" s="64"/>
      <c r="J220" s="67">
        <f ca="1">J210+J217+J219</f>
        <v>420.91030522400052</v>
      </c>
      <c r="K220" s="67">
        <f ca="1">K210+K217+K219</f>
        <v>298.84866372187219</v>
      </c>
      <c r="L220" s="67">
        <f ca="1">L210+L217+L219</f>
        <v>307.60056227849088</v>
      </c>
      <c r="M220" s="67">
        <f ca="1">M210+M217+M219</f>
        <v>309.58344579627135</v>
      </c>
      <c r="N220" s="67">
        <f ca="1">N210+N217+N219</f>
        <v>315.14287751847598</v>
      </c>
    </row>
    <row r="221" spans="1:14" x14ac:dyDescent="0.3">
      <c r="A221" s="1"/>
      <c r="B221" s="2"/>
      <c r="C221" s="38"/>
      <c r="D221" s="59"/>
      <c r="E221" s="59"/>
      <c r="F221" s="59"/>
      <c r="G221" s="59"/>
      <c r="H221" s="59"/>
      <c r="I221" s="59"/>
      <c r="J221" s="91"/>
      <c r="K221" s="91"/>
      <c r="L221" s="91"/>
      <c r="M221" s="91"/>
      <c r="N221" s="91"/>
    </row>
    <row r="222" spans="1:14" ht="19.95" customHeight="1" x14ac:dyDescent="0.3">
      <c r="A222" s="1"/>
      <c r="B222" s="19" t="s">
        <v>190</v>
      </c>
      <c r="C222" s="37"/>
      <c r="D222" s="89"/>
      <c r="E222" s="89"/>
      <c r="F222" s="89"/>
      <c r="G222" s="89"/>
      <c r="H222" s="89"/>
      <c r="I222" s="89"/>
      <c r="J222" s="122"/>
      <c r="K222" s="122"/>
      <c r="L222" s="122"/>
      <c r="M222" s="122"/>
      <c r="N222" s="122"/>
    </row>
    <row r="223" spans="1:14" x14ac:dyDescent="0.3">
      <c r="A223" s="1"/>
      <c r="B223" s="2"/>
      <c r="C223" s="90"/>
      <c r="D223" s="91"/>
      <c r="E223" s="91"/>
      <c r="F223" s="91"/>
      <c r="G223" s="91"/>
      <c r="H223" s="91"/>
      <c r="I223" s="91">
        <v>2014</v>
      </c>
      <c r="J223" s="91"/>
      <c r="K223" s="91"/>
      <c r="L223" s="91"/>
      <c r="M223" s="91"/>
      <c r="N223" s="91">
        <v>2019</v>
      </c>
    </row>
    <row r="224" spans="1:14" x14ac:dyDescent="0.3">
      <c r="A224" s="1"/>
      <c r="B224" s="2" t="s">
        <v>116</v>
      </c>
      <c r="C224" s="90"/>
      <c r="D224" s="65"/>
      <c r="E224" s="65"/>
      <c r="F224" s="65"/>
      <c r="G224" s="65"/>
      <c r="H224" s="65"/>
      <c r="I224" s="65">
        <f>F98</f>
        <v>521</v>
      </c>
      <c r="J224" s="65"/>
      <c r="K224" s="65"/>
      <c r="L224" s="65"/>
      <c r="M224" s="65"/>
      <c r="N224" s="111">
        <f>N98</f>
        <v>651.25909197956366</v>
      </c>
    </row>
    <row r="225" spans="1:14" x14ac:dyDescent="0.3">
      <c r="A225" s="1"/>
      <c r="B225" s="2" t="s">
        <v>191</v>
      </c>
      <c r="C225" s="90"/>
      <c r="D225" s="92"/>
      <c r="E225" s="92"/>
      <c r="F225" s="92"/>
      <c r="G225" s="92"/>
      <c r="H225" s="92"/>
      <c r="I225" s="110">
        <f>F11</f>
        <v>11.915922428023032</v>
      </c>
      <c r="J225" s="92"/>
      <c r="K225" s="92"/>
      <c r="L225" s="92"/>
      <c r="M225" s="92"/>
      <c r="N225" s="111">
        <f>I8</f>
        <v>12</v>
      </c>
    </row>
    <row r="226" spans="1:14" x14ac:dyDescent="0.3">
      <c r="A226" s="1"/>
      <c r="B226" s="2" t="s">
        <v>41</v>
      </c>
      <c r="C226" s="90"/>
      <c r="D226" s="65"/>
      <c r="E226" s="65"/>
      <c r="F226" s="65"/>
      <c r="G226" s="65"/>
      <c r="H226" s="65"/>
      <c r="I226" s="65">
        <f>I224*I225</f>
        <v>6208.1955849999995</v>
      </c>
      <c r="J226" s="65"/>
      <c r="K226" s="65"/>
      <c r="L226" s="65"/>
      <c r="M226" s="65"/>
      <c r="N226" s="111">
        <f>N224*N225</f>
        <v>7815.109103754764</v>
      </c>
    </row>
    <row r="227" spans="1:14" x14ac:dyDescent="0.3">
      <c r="A227" s="1"/>
      <c r="B227" s="2" t="s">
        <v>60</v>
      </c>
      <c r="C227" s="90"/>
      <c r="D227" s="65"/>
      <c r="E227" s="65"/>
      <c r="F227" s="65"/>
      <c r="G227" s="65"/>
      <c r="H227" s="65"/>
      <c r="I227" s="65">
        <f>-C44</f>
        <v>-2972.1173203569992</v>
      </c>
      <c r="J227" s="65"/>
      <c r="K227" s="65"/>
      <c r="L227" s="65"/>
      <c r="M227" s="65"/>
      <c r="N227" s="65">
        <f ca="1">N226-N120-N126-N127-N128-N129+N104</f>
        <v>5901.6649288739545</v>
      </c>
    </row>
    <row r="228" spans="1:14" x14ac:dyDescent="0.3">
      <c r="A228" s="1"/>
      <c r="B228" s="6" t="s">
        <v>192</v>
      </c>
      <c r="C228" s="90"/>
      <c r="D228" s="93"/>
      <c r="E228" s="93"/>
      <c r="F228" s="93"/>
      <c r="G228" s="93"/>
      <c r="H228" s="93"/>
      <c r="I228" s="93">
        <f ca="1">IRR(I230:N230)</f>
        <v>0.14704813115097171</v>
      </c>
      <c r="J228" s="93"/>
      <c r="K228" s="93"/>
      <c r="L228" s="93"/>
      <c r="M228" s="93"/>
      <c r="N228" s="93"/>
    </row>
    <row r="229" spans="1:14" x14ac:dyDescent="0.3">
      <c r="A229" s="15"/>
      <c r="B229" s="15"/>
      <c r="C229" s="94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</row>
    <row r="230" spans="1:14" ht="14.55" customHeight="1" x14ac:dyDescent="0.3">
      <c r="A230" s="15"/>
      <c r="B230" s="112" t="s">
        <v>193</v>
      </c>
      <c r="C230" s="96"/>
      <c r="D230" s="97"/>
      <c r="E230" s="97"/>
      <c r="F230" s="97"/>
      <c r="G230" s="97"/>
      <c r="H230" s="97"/>
      <c r="I230" s="97">
        <f>-I139</f>
        <v>-2972.12</v>
      </c>
      <c r="J230" s="97">
        <f>J227</f>
        <v>0</v>
      </c>
      <c r="K230" s="97">
        <f>K227</f>
        <v>0</v>
      </c>
      <c r="L230" s="97">
        <f>L227</f>
        <v>0</v>
      </c>
      <c r="M230" s="97">
        <f>M227</f>
        <v>0</v>
      </c>
      <c r="N230" s="97">
        <f ca="1">N227</f>
        <v>5901.6649288739545</v>
      </c>
    </row>
    <row r="233" spans="1:14" x14ac:dyDescent="0.3">
      <c r="B233" s="134" t="s">
        <v>194</v>
      </c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</row>
    <row r="235" spans="1:14" x14ac:dyDescent="0.3">
      <c r="B235" t="s">
        <v>195</v>
      </c>
      <c r="C235" s="136">
        <f>C44</f>
        <v>2972.1173203569992</v>
      </c>
    </row>
    <row r="236" spans="1:14" x14ac:dyDescent="0.3">
      <c r="B236" t="s">
        <v>196</v>
      </c>
      <c r="C236" s="137">
        <f>$I$8</f>
        <v>12</v>
      </c>
    </row>
    <row r="237" spans="1:14" x14ac:dyDescent="0.3">
      <c r="B237" t="s">
        <v>197</v>
      </c>
      <c r="C237" s="138">
        <v>0.5</v>
      </c>
    </row>
    <row r="239" spans="1:14" x14ac:dyDescent="0.3">
      <c r="B239" s="139" t="s">
        <v>198</v>
      </c>
      <c r="J239" s="141">
        <f>J$149</f>
        <v>2015</v>
      </c>
      <c r="K239" s="141">
        <f t="shared" ref="K239:N239" si="8">K$149</f>
        <v>2016</v>
      </c>
      <c r="L239" s="141">
        <f t="shared" si="8"/>
        <v>2017</v>
      </c>
      <c r="M239" s="141">
        <f t="shared" si="8"/>
        <v>2018</v>
      </c>
      <c r="N239" s="141">
        <f t="shared" si="8"/>
        <v>2019</v>
      </c>
    </row>
    <row r="240" spans="1:14" x14ac:dyDescent="0.3">
      <c r="B240" t="s">
        <v>199</v>
      </c>
      <c r="J240" s="135">
        <f>J98</f>
        <v>586.01161799999954</v>
      </c>
      <c r="K240" s="135">
        <f t="shared" ref="K240:N240" si="9">K98</f>
        <v>602.41994330399962</v>
      </c>
      <c r="L240" s="135">
        <f t="shared" si="9"/>
        <v>621.69738148972715</v>
      </c>
      <c r="M240" s="135">
        <f t="shared" si="9"/>
        <v>637.23981602697086</v>
      </c>
      <c r="N240" s="135">
        <f t="shared" si="9"/>
        <v>651.25909197956366</v>
      </c>
    </row>
    <row r="241" spans="2:14" x14ac:dyDescent="0.3">
      <c r="B241" t="s">
        <v>200</v>
      </c>
      <c r="J241" s="135">
        <f ca="1">SUM(J120,J126,J127,J128,J129)-J104</f>
        <v>3144.6197241959194</v>
      </c>
      <c r="K241" s="135">
        <f t="shared" ref="K241:N241" ca="1" si="10">SUM(K120,K126,K127,K128,K129)-K104</f>
        <v>2845.7710604740473</v>
      </c>
      <c r="L241" s="135">
        <f t="shared" ca="1" si="10"/>
        <v>2538.1704981955559</v>
      </c>
      <c r="M241" s="135">
        <f t="shared" ca="1" si="10"/>
        <v>2228.5870523992844</v>
      </c>
      <c r="N241" s="135">
        <f t="shared" ca="1" si="10"/>
        <v>1913.4441748808085</v>
      </c>
    </row>
    <row r="242" spans="2:14" x14ac:dyDescent="0.3">
      <c r="B242" t="s">
        <v>201</v>
      </c>
      <c r="J242" s="140">
        <f>J239-$I$223</f>
        <v>1</v>
      </c>
      <c r="K242" s="140">
        <f t="shared" ref="K242:N242" si="11">K239-$I$223</f>
        <v>2</v>
      </c>
      <c r="L242" s="140">
        <f t="shared" si="11"/>
        <v>3</v>
      </c>
      <c r="M242" s="140">
        <f t="shared" si="11"/>
        <v>4</v>
      </c>
      <c r="N242" s="140">
        <f t="shared" si="11"/>
        <v>5</v>
      </c>
    </row>
    <row r="244" spans="2:14" x14ac:dyDescent="0.3">
      <c r="B244" s="143" t="s">
        <v>202</v>
      </c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</row>
    <row r="245" spans="2:14" x14ac:dyDescent="0.3">
      <c r="I245" s="145" t="s">
        <v>203</v>
      </c>
      <c r="J245" s="146">
        <f>J$239</f>
        <v>2015</v>
      </c>
      <c r="K245" s="146">
        <f t="shared" ref="K245:N245" si="12">K$239</f>
        <v>2016</v>
      </c>
      <c r="L245" s="146">
        <f t="shared" si="12"/>
        <v>2017</v>
      </c>
      <c r="M245" s="146">
        <f t="shared" si="12"/>
        <v>2018</v>
      </c>
      <c r="N245" s="146">
        <f t="shared" si="12"/>
        <v>2019</v>
      </c>
    </row>
    <row r="246" spans="2:14" x14ac:dyDescent="0.3">
      <c r="I246" s="147">
        <f>I247-$C$237</f>
        <v>10.5</v>
      </c>
      <c r="J246" s="148">
        <f ca="1">IFERROR((MAX(J$240*$I246-J$241,0)/$C$235)^(1/J$242)-1,"n/a")</f>
        <v>1.2242095625857319E-2</v>
      </c>
      <c r="K246" s="148">
        <f t="shared" ref="K246:N252" ca="1" si="13">IFERROR((MAX(K$240*$I246-K$241,0)/$C$235)^(1/K$242)-1,"n/a")</f>
        <v>8.2016988704403104E-2</v>
      </c>
      <c r="L246" s="148">
        <f t="shared" ca="1" si="13"/>
        <v>0.10312067068536868</v>
      </c>
      <c r="M246" s="148">
        <f t="shared" ca="1" si="13"/>
        <v>0.10694588899208846</v>
      </c>
      <c r="N246" s="148">
        <f t="shared" ca="1" si="13"/>
        <v>0.10627758190611414</v>
      </c>
    </row>
    <row r="247" spans="2:14" x14ac:dyDescent="0.3">
      <c r="I247" s="147">
        <f>I248-$C$237</f>
        <v>11</v>
      </c>
      <c r="J247" s="148">
        <f t="shared" ref="J247:J252" ca="1" si="14">IFERROR((MAX(J$240*$I247-J$241,0)/$C$235)^(1/J$242)-1,"n/a")</f>
        <v>0.11082696877104148</v>
      </c>
      <c r="K247" s="148">
        <f t="shared" ca="1" si="13"/>
        <v>0.12787677227531979</v>
      </c>
      <c r="L247" s="148">
        <f t="shared" ca="1" si="13"/>
        <v>0.13105665119604271</v>
      </c>
      <c r="M247" s="148">
        <f t="shared" ca="1" si="13"/>
        <v>0.12619697172068256</v>
      </c>
      <c r="N247" s="148">
        <f t="shared" ca="1" si="13"/>
        <v>0.12053489365054504</v>
      </c>
    </row>
    <row r="248" spans="2:14" x14ac:dyDescent="0.3">
      <c r="I248" s="147">
        <f>I249-$C$237</f>
        <v>11.5</v>
      </c>
      <c r="J248" s="148">
        <f t="shared" ca="1" si="14"/>
        <v>0.20941184191622542</v>
      </c>
      <c r="K248" s="148">
        <f t="shared" ca="1" si="13"/>
        <v>0.17194337023230055</v>
      </c>
      <c r="L248" s="148">
        <f t="shared" ca="1" si="13"/>
        <v>0.15767687991543311</v>
      </c>
      <c r="M248" s="148">
        <f t="shared" ca="1" si="13"/>
        <v>0.14450857003244844</v>
      </c>
      <c r="N248" s="148">
        <f t="shared" ca="1" si="13"/>
        <v>0.13410147285943097</v>
      </c>
    </row>
    <row r="249" spans="2:14" x14ac:dyDescent="0.3">
      <c r="I249" s="147">
        <f>$C$236</f>
        <v>12</v>
      </c>
      <c r="J249" s="148">
        <f t="shared" ca="1" si="14"/>
        <v>0.30799671506141002</v>
      </c>
      <c r="K249" s="148">
        <f t="shared" ca="1" si="13"/>
        <v>0.21441200283293171</v>
      </c>
      <c r="L249" s="148">
        <f t="shared" ca="1" si="13"/>
        <v>0.18312612974919484</v>
      </c>
      <c r="M249" s="148">
        <f t="shared" ca="1" si="13"/>
        <v>0.16198116676476104</v>
      </c>
      <c r="N249" s="152">
        <f t="shared" ca="1" si="13"/>
        <v>0.14704833798523387</v>
      </c>
    </row>
    <row r="250" spans="2:14" x14ac:dyDescent="0.3">
      <c r="I250" s="147">
        <f>I249+$C$237</f>
        <v>12.5</v>
      </c>
      <c r="J250" s="148">
        <f t="shared" ca="1" si="14"/>
        <v>0.40658158820659418</v>
      </c>
      <c r="K250" s="148">
        <f t="shared" ca="1" si="13"/>
        <v>0.25544484634648201</v>
      </c>
      <c r="L250" s="148">
        <f t="shared" ca="1" si="13"/>
        <v>0.20752525472903294</v>
      </c>
      <c r="M250" s="148">
        <f t="shared" ca="1" si="13"/>
        <v>0.178699323573146</v>
      </c>
      <c r="N250" s="148">
        <f t="shared" ca="1" si="13"/>
        <v>0.15943575966193646</v>
      </c>
    </row>
    <row r="251" spans="2:14" x14ac:dyDescent="0.3">
      <c r="I251" s="147">
        <f>I250+$C$237</f>
        <v>13</v>
      </c>
      <c r="J251" s="148">
        <f t="shared" ca="1" si="14"/>
        <v>0.50516646135177856</v>
      </c>
      <c r="K251" s="148">
        <f t="shared" ca="1" si="13"/>
        <v>0.29517837065447905</v>
      </c>
      <c r="L251" s="148">
        <f t="shared" ca="1" si="13"/>
        <v>0.23097630864623819</v>
      </c>
      <c r="M251" s="148">
        <f t="shared" ca="1" si="13"/>
        <v>0.19473493452074853</v>
      </c>
      <c r="N251" s="148">
        <f t="shared" ca="1" si="13"/>
        <v>0.17131535553092236</v>
      </c>
    </row>
    <row r="252" spans="2:14" x14ac:dyDescent="0.3">
      <c r="I252" s="147">
        <f>I251+$C$237</f>
        <v>13.5</v>
      </c>
      <c r="J252" s="148">
        <f t="shared" ca="1" si="14"/>
        <v>0.6037513344969625</v>
      </c>
      <c r="K252" s="148">
        <f t="shared" ca="1" si="13"/>
        <v>0.3337287060734806</v>
      </c>
      <c r="L252" s="148">
        <f t="shared" ca="1" si="13"/>
        <v>0.25356634599331795</v>
      </c>
      <c r="M252" s="148">
        <f t="shared" ca="1" si="13"/>
        <v>0.21014968077529894</v>
      </c>
      <c r="N252" s="148">
        <f t="shared" ca="1" si="13"/>
        <v>0.18273169437024261</v>
      </c>
    </row>
    <row r="254" spans="2:14" x14ac:dyDescent="0.3">
      <c r="B254" s="143" t="s">
        <v>204</v>
      </c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</row>
    <row r="255" spans="2:14" x14ac:dyDescent="0.3">
      <c r="G255" s="145" t="s">
        <v>205</v>
      </c>
      <c r="H255" s="149">
        <v>-0.15</v>
      </c>
      <c r="I255" s="149">
        <v>-0.1</v>
      </c>
      <c r="J255" s="149">
        <v>-0.05</v>
      </c>
      <c r="K255" s="150">
        <v>0</v>
      </c>
      <c r="L255" s="149">
        <v>0.05</v>
      </c>
      <c r="M255" s="149">
        <v>0.1</v>
      </c>
      <c r="N255" s="149">
        <v>0.15</v>
      </c>
    </row>
    <row r="256" spans="2:14" x14ac:dyDescent="0.3">
      <c r="G256" s="147">
        <f>I246</f>
        <v>10.5</v>
      </c>
      <c r="H256" s="148">
        <f ca="1">IFERROR((MAX($N$240*(1+H$255)*$G256-$N$241,0)/$C$235)^(1/$N$242)-1,"n/a")</f>
        <v>5.5792129412854718E-2</v>
      </c>
      <c r="I256" s="148">
        <f t="shared" ref="I256:N262" ca="1" si="15">IFERROR((MAX($N$240*(1+I$255)*$G256-$N$241,0)/$C$235)^(1/$N$242)-1,"n/a")</f>
        <v>7.3691531323226034E-2</v>
      </c>
      <c r="J256" s="148">
        <f t="shared" ca="1" si="15"/>
        <v>9.047127054634907E-2</v>
      </c>
      <c r="K256" s="148">
        <f t="shared" ca="1" si="15"/>
        <v>0.10627758190611414</v>
      </c>
      <c r="L256" s="148">
        <f t="shared" ca="1" si="15"/>
        <v>0.121228987640424</v>
      </c>
      <c r="M256" s="148">
        <f t="shared" ca="1" si="15"/>
        <v>0.13542297562615624</v>
      </c>
      <c r="N256" s="148">
        <f t="shared" ca="1" si="15"/>
        <v>0.14894076531805212</v>
      </c>
    </row>
    <row r="257" spans="2:14" x14ac:dyDescent="0.3">
      <c r="G257" s="147">
        <f t="shared" ref="G257:G262" si="16">I247</f>
        <v>11</v>
      </c>
      <c r="H257" s="148">
        <f t="shared" ref="H257:H262" ca="1" si="17">IFERROR((MAX($N$240*(1+H$255)*$G257-$N$241,0)/$C$235)^(1/$N$242)-1,"n/a")</f>
        <v>7.0373473459746094E-2</v>
      </c>
      <c r="I257" s="148">
        <f t="shared" ca="1" si="15"/>
        <v>8.8136836364727245E-2</v>
      </c>
      <c r="J257" s="148">
        <f t="shared" ca="1" si="15"/>
        <v>0.10481074074815244</v>
      </c>
      <c r="K257" s="148">
        <f t="shared" ca="1" si="15"/>
        <v>0.12053489365054504</v>
      </c>
      <c r="L257" s="148">
        <f t="shared" ca="1" si="15"/>
        <v>0.13542297562615624</v>
      </c>
      <c r="M257" s="148">
        <f t="shared" ca="1" si="15"/>
        <v>0.14956881283296264</v>
      </c>
      <c r="N257" s="148">
        <f t="shared" ca="1" si="15"/>
        <v>0.16305080825953366</v>
      </c>
    </row>
    <row r="258" spans="2:14" x14ac:dyDescent="0.3">
      <c r="G258" s="147">
        <f t="shared" si="16"/>
        <v>11.5</v>
      </c>
      <c r="H258" s="148">
        <f t="shared" ca="1" si="17"/>
        <v>8.4201013777604361E-2</v>
      </c>
      <c r="I258" s="148">
        <f t="shared" ca="1" si="15"/>
        <v>0.1018534687943049</v>
      </c>
      <c r="J258" s="148">
        <f t="shared" ca="1" si="15"/>
        <v>0.11844222865600584</v>
      </c>
      <c r="K258" s="148">
        <f t="shared" ca="1" si="15"/>
        <v>0.13410147285943097</v>
      </c>
      <c r="L258" s="148">
        <f t="shared" ca="1" si="15"/>
        <v>0.14894076531805212</v>
      </c>
      <c r="M258" s="148">
        <f t="shared" ca="1" si="15"/>
        <v>0.16305080825953389</v>
      </c>
      <c r="N258" s="148">
        <f t="shared" ca="1" si="15"/>
        <v>0.17650759512323111</v>
      </c>
    </row>
    <row r="259" spans="2:14" x14ac:dyDescent="0.3">
      <c r="G259" s="147">
        <f t="shared" si="16"/>
        <v>12</v>
      </c>
      <c r="H259" s="148">
        <f t="shared" ca="1" si="17"/>
        <v>9.7357138867430804E-2</v>
      </c>
      <c r="I259" s="148">
        <f t="shared" ca="1" si="15"/>
        <v>0.11491925339275255</v>
      </c>
      <c r="J259" s="148">
        <f t="shared" ca="1" si="15"/>
        <v>0.13143983669732395</v>
      </c>
      <c r="K259" s="152">
        <f t="shared" ca="1" si="15"/>
        <v>0.14704833798523387</v>
      </c>
      <c r="L259" s="148">
        <f t="shared" ca="1" si="15"/>
        <v>0.16185078600326452</v>
      </c>
      <c r="M259" s="148">
        <f t="shared" ca="1" si="15"/>
        <v>0.17593519264394697</v>
      </c>
      <c r="N259" s="148">
        <f t="shared" ca="1" si="15"/>
        <v>0.18937547139481503</v>
      </c>
    </row>
    <row r="260" spans="2:14" x14ac:dyDescent="0.3">
      <c r="G260" s="147">
        <f t="shared" si="16"/>
        <v>12.5</v>
      </c>
      <c r="H260" s="148">
        <f t="shared" ca="1" si="17"/>
        <v>0.10991102726882374</v>
      </c>
      <c r="I260" s="148">
        <f t="shared" ca="1" si="15"/>
        <v>0.1273998056200587</v>
      </c>
      <c r="J260" s="148">
        <f t="shared" ca="1" si="15"/>
        <v>0.14386626185037188</v>
      </c>
      <c r="K260" s="148">
        <f t="shared" ca="1" si="15"/>
        <v>0.15943575966193646</v>
      </c>
      <c r="L260" s="148">
        <f t="shared" ca="1" si="15"/>
        <v>0.17421126547594579</v>
      </c>
      <c r="M260" s="148">
        <f t="shared" ca="1" si="15"/>
        <v>0.18827845509732488</v>
      </c>
      <c r="N260" s="148">
        <f t="shared" ca="1" si="15"/>
        <v>0.20170943244442641</v>
      </c>
    </row>
    <row r="261" spans="2:14" x14ac:dyDescent="0.3">
      <c r="G261" s="147">
        <f t="shared" si="16"/>
        <v>13</v>
      </c>
      <c r="H261" s="148">
        <f t="shared" ca="1" si="17"/>
        <v>0.12192136716543733</v>
      </c>
      <c r="I261" s="148">
        <f t="shared" ca="1" si="15"/>
        <v>0.13935099389063565</v>
      </c>
      <c r="J261" s="148">
        <f t="shared" ca="1" si="15"/>
        <v>0.15577505453695228</v>
      </c>
      <c r="K261" s="148">
        <f t="shared" ca="1" si="15"/>
        <v>0.17131535553092236</v>
      </c>
      <c r="L261" s="148">
        <f t="shared" ca="1" si="15"/>
        <v>0.18607219020430743</v>
      </c>
      <c r="M261" s="148">
        <f t="shared" ca="1" si="15"/>
        <v>0.20012919110427729</v>
      </c>
      <c r="N261" s="148">
        <f t="shared" ca="1" si="15"/>
        <v>0.21355687689739611</v>
      </c>
    </row>
    <row r="262" spans="2:14" x14ac:dyDescent="0.3">
      <c r="G262" s="147">
        <f t="shared" si="16"/>
        <v>13.5</v>
      </c>
      <c r="H262" s="148">
        <f t="shared" ca="1" si="17"/>
        <v>0.13343840491975945</v>
      </c>
      <c r="I262" s="148">
        <f t="shared" ca="1" si="15"/>
        <v>0.15082080606117154</v>
      </c>
      <c r="J262" s="148">
        <f t="shared" ca="1" si="15"/>
        <v>0.16721234026370069</v>
      </c>
      <c r="K262" s="148">
        <f t="shared" ca="1" si="15"/>
        <v>0.18273169437024261</v>
      </c>
      <c r="L262" s="148">
        <f t="shared" ca="1" si="15"/>
        <v>0.19747681254005123</v>
      </c>
      <c r="M262" s="148">
        <f t="shared" ca="1" si="15"/>
        <v>0.21152952866046815</v>
      </c>
      <c r="N262" s="148">
        <f t="shared" ca="1" si="15"/>
        <v>0.22495896412442407</v>
      </c>
    </row>
    <row r="264" spans="2:14" x14ac:dyDescent="0.3">
      <c r="B264" s="143" t="s">
        <v>206</v>
      </c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</row>
    <row r="265" spans="2:14" x14ac:dyDescent="0.3">
      <c r="G265" s="145" t="s">
        <v>205</v>
      </c>
      <c r="H265" s="149">
        <v>-0.15</v>
      </c>
      <c r="I265" s="149">
        <v>-0.1</v>
      </c>
      <c r="J265" s="149">
        <v>-0.05</v>
      </c>
      <c r="K265" s="150">
        <v>0</v>
      </c>
      <c r="L265" s="149">
        <v>0.05</v>
      </c>
      <c r="M265" s="149">
        <v>0.1</v>
      </c>
      <c r="N265" s="149">
        <v>0.15</v>
      </c>
    </row>
    <row r="266" spans="2:14" x14ac:dyDescent="0.3">
      <c r="G266" s="147">
        <f>I246</f>
        <v>10.5</v>
      </c>
      <c r="H266" s="151">
        <f ca="1">IFERROR(MAX($N$240*(1+H$265)*$G266-$N$241,0)/$C$235,"n/a")</f>
        <v>1.3118739271599342</v>
      </c>
      <c r="I266" s="151">
        <f t="shared" ref="I266:N272" ca="1" si="18">IFERROR(MAX($N$240*(1+I$265)*$G266-$N$241,0)/$C$235,"n/a")</f>
        <v>1.4269134718466163</v>
      </c>
      <c r="J266" s="151">
        <f t="shared" ca="1" si="18"/>
        <v>1.5419530165332984</v>
      </c>
      <c r="K266" s="151">
        <f t="shared" ca="1" si="18"/>
        <v>1.6569925612199805</v>
      </c>
      <c r="L266" s="151">
        <f t="shared" ca="1" si="18"/>
        <v>1.7720321059066628</v>
      </c>
      <c r="M266" s="151">
        <f t="shared" ca="1" si="18"/>
        <v>1.8870716505933449</v>
      </c>
      <c r="N266" s="151">
        <f t="shared" ca="1" si="18"/>
        <v>2.0021111952800266</v>
      </c>
    </row>
    <row r="267" spans="2:14" x14ac:dyDescent="0.3">
      <c r="G267" s="147">
        <f t="shared" ref="G267:G272" si="19">I247</f>
        <v>11</v>
      </c>
      <c r="H267" s="151">
        <f t="shared" ref="H267:H272" ca="1" si="20">IFERROR(MAX($N$240*(1+H$265)*$G267-$N$241,0)/$C$235,"n/a")</f>
        <v>1.4050011776205817</v>
      </c>
      <c r="I267" s="151">
        <f t="shared" ca="1" si="18"/>
        <v>1.5255187958637724</v>
      </c>
      <c r="J267" s="151">
        <f t="shared" ca="1" si="18"/>
        <v>1.6460364141069634</v>
      </c>
      <c r="K267" s="151">
        <f t="shared" ca="1" si="18"/>
        <v>1.7665540323501541</v>
      </c>
      <c r="L267" s="151">
        <f t="shared" ca="1" si="18"/>
        <v>1.8870716505933449</v>
      </c>
      <c r="M267" s="151">
        <f t="shared" ca="1" si="18"/>
        <v>2.0075892688365355</v>
      </c>
      <c r="N267" s="151">
        <f t="shared" ca="1" si="18"/>
        <v>2.128106887079726</v>
      </c>
    </row>
    <row r="268" spans="2:14" x14ac:dyDescent="0.3">
      <c r="G268" s="147">
        <f t="shared" si="19"/>
        <v>11.5</v>
      </c>
      <c r="H268" s="151">
        <f t="shared" ca="1" si="20"/>
        <v>1.498128428081229</v>
      </c>
      <c r="I268" s="151">
        <f t="shared" ca="1" si="18"/>
        <v>1.6241241198809286</v>
      </c>
      <c r="J268" s="151">
        <f t="shared" ca="1" si="18"/>
        <v>1.750119811680628</v>
      </c>
      <c r="K268" s="151">
        <f t="shared" ca="1" si="18"/>
        <v>1.8761155034803274</v>
      </c>
      <c r="L268" s="151">
        <f t="shared" ca="1" si="18"/>
        <v>2.002111195280027</v>
      </c>
      <c r="M268" s="151">
        <f t="shared" ca="1" si="18"/>
        <v>2.1281068870797268</v>
      </c>
      <c r="N268" s="151">
        <f t="shared" ca="1" si="18"/>
        <v>2.2541025788794253</v>
      </c>
    </row>
    <row r="269" spans="2:14" x14ac:dyDescent="0.3">
      <c r="G269" s="147">
        <f t="shared" si="19"/>
        <v>12</v>
      </c>
      <c r="H269" s="151">
        <f t="shared" ca="1" si="20"/>
        <v>1.5912556785418766</v>
      </c>
      <c r="I269" s="151">
        <f t="shared" ca="1" si="18"/>
        <v>1.7227294438980847</v>
      </c>
      <c r="J269" s="151">
        <f t="shared" ca="1" si="18"/>
        <v>1.8542032092542928</v>
      </c>
      <c r="K269" s="153">
        <f t="shared" ca="1" si="18"/>
        <v>1.985676974610501</v>
      </c>
      <c r="L269" s="151">
        <f t="shared" ca="1" si="18"/>
        <v>2.1171507399667093</v>
      </c>
      <c r="M269" s="151">
        <f t="shared" ca="1" si="18"/>
        <v>2.2486245053229172</v>
      </c>
      <c r="N269" s="151">
        <f t="shared" ca="1" si="18"/>
        <v>2.3800982706791252</v>
      </c>
    </row>
    <row r="270" spans="2:14" x14ac:dyDescent="0.3">
      <c r="G270" s="147">
        <f t="shared" si="19"/>
        <v>12.5</v>
      </c>
      <c r="H270" s="151">
        <f t="shared" ca="1" si="20"/>
        <v>1.6843829290025238</v>
      </c>
      <c r="I270" s="151">
        <f t="shared" ca="1" si="18"/>
        <v>1.8213347679152405</v>
      </c>
      <c r="J270" s="151">
        <f t="shared" ca="1" si="18"/>
        <v>1.9582866068279576</v>
      </c>
      <c r="K270" s="151">
        <f t="shared" ca="1" si="18"/>
        <v>2.0952384457406743</v>
      </c>
      <c r="L270" s="151">
        <f t="shared" ca="1" si="18"/>
        <v>2.2321902846533916</v>
      </c>
      <c r="M270" s="151">
        <f t="shared" ca="1" si="18"/>
        <v>2.3691421235661081</v>
      </c>
      <c r="N270" s="151">
        <f t="shared" ca="1" si="18"/>
        <v>2.5060939624788245</v>
      </c>
    </row>
    <row r="271" spans="2:14" x14ac:dyDescent="0.3">
      <c r="G271" s="147">
        <f t="shared" si="19"/>
        <v>13</v>
      </c>
      <c r="H271" s="151">
        <f t="shared" ca="1" si="20"/>
        <v>1.7775101794631711</v>
      </c>
      <c r="I271" s="151">
        <f t="shared" ca="1" si="18"/>
        <v>1.919940091932397</v>
      </c>
      <c r="J271" s="151">
        <f t="shared" ca="1" si="18"/>
        <v>2.0623700044016222</v>
      </c>
      <c r="K271" s="151">
        <f t="shared" ca="1" si="18"/>
        <v>2.2047999168708476</v>
      </c>
      <c r="L271" s="151">
        <f t="shared" ca="1" si="18"/>
        <v>2.3472298293400735</v>
      </c>
      <c r="M271" s="151">
        <f t="shared" ca="1" si="18"/>
        <v>2.4896597418092989</v>
      </c>
      <c r="N271" s="151">
        <f t="shared" ca="1" si="18"/>
        <v>2.6320896542785239</v>
      </c>
    </row>
    <row r="272" spans="2:14" x14ac:dyDescent="0.3">
      <c r="G272" s="147">
        <f t="shared" si="19"/>
        <v>13.5</v>
      </c>
      <c r="H272" s="151">
        <f t="shared" ca="1" si="20"/>
        <v>1.8706374299238187</v>
      </c>
      <c r="I272" s="151">
        <f t="shared" ca="1" si="18"/>
        <v>2.0185454159495531</v>
      </c>
      <c r="J272" s="151">
        <f t="shared" ca="1" si="18"/>
        <v>2.166453401975287</v>
      </c>
      <c r="K272" s="151">
        <f t="shared" ca="1" si="18"/>
        <v>2.3143613880010214</v>
      </c>
      <c r="L272" s="151">
        <f t="shared" ca="1" si="18"/>
        <v>2.4622693740267558</v>
      </c>
      <c r="M272" s="151">
        <f t="shared" ca="1" si="18"/>
        <v>2.6101773600524898</v>
      </c>
      <c r="N272" s="151">
        <f t="shared" ca="1" si="18"/>
        <v>2.7580853460782238</v>
      </c>
    </row>
    <row r="274" spans="2:2" x14ac:dyDescent="0.3">
      <c r="B274" s="144" t="s">
        <v>207</v>
      </c>
    </row>
  </sheetData>
  <mergeCells count="15">
    <mergeCell ref="D179:F179"/>
    <mergeCell ref="J179:N179"/>
    <mergeCell ref="D101:F101"/>
    <mergeCell ref="G101:I101"/>
    <mergeCell ref="J101:N101"/>
    <mergeCell ref="D148:F148"/>
    <mergeCell ref="G148:I148"/>
    <mergeCell ref="J148:N148"/>
    <mergeCell ref="B48:C48"/>
    <mergeCell ref="D64:F64"/>
    <mergeCell ref="G64:I64"/>
    <mergeCell ref="J64:N64"/>
    <mergeCell ref="D80:F80"/>
    <mergeCell ref="G80:I80"/>
    <mergeCell ref="J80:N8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AC6A-7B4A-4255-BC7D-00EB58931A68}">
  <sheetPr>
    <tabColor rgb="FFC00000"/>
  </sheetPr>
  <dimension ref="A1:N230"/>
  <sheetViews>
    <sheetView showGridLines="0" topLeftCell="A186" zoomScale="60" zoomScaleNormal="60" workbookViewId="0">
      <pane xSplit="3" topLeftCell="D1" activePane="topRight" state="frozen"/>
      <selection activeCell="A8" sqref="A8"/>
      <selection pane="topRight" activeCell="D145" sqref="D145"/>
    </sheetView>
  </sheetViews>
  <sheetFormatPr defaultRowHeight="14.4" x14ac:dyDescent="0.3"/>
  <cols>
    <col min="1" max="1" width="3.33203125" customWidth="1"/>
    <col min="2" max="2" width="46.33203125" customWidth="1"/>
    <col min="3" max="14" width="15.21875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63" customHeight="1" x14ac:dyDescent="0.3">
      <c r="A2" s="1"/>
      <c r="B2" s="16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8.6" customHeight="1" x14ac:dyDescent="0.3">
      <c r="A4" s="1"/>
      <c r="B4" s="17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18" t="s">
        <v>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1"/>
      <c r="B7" s="1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 ht="48.6" customHeight="1" x14ac:dyDescent="0.3">
      <c r="A8" s="1"/>
      <c r="B8" s="20" t="s">
        <v>3</v>
      </c>
      <c r="C8" s="39" t="s">
        <v>4</v>
      </c>
      <c r="D8" s="39"/>
      <c r="E8" s="40" t="s">
        <v>5</v>
      </c>
      <c r="F8" s="41">
        <v>41987</v>
      </c>
      <c r="G8" s="39"/>
      <c r="H8" s="40" t="s">
        <v>6</v>
      </c>
      <c r="I8" s="46">
        <v>12.5</v>
      </c>
      <c r="J8" s="38"/>
      <c r="K8" s="38" t="s">
        <v>8</v>
      </c>
      <c r="L8" s="38">
        <v>1</v>
      </c>
      <c r="M8" s="38"/>
      <c r="N8" s="38"/>
    </row>
    <row r="9" spans="1:14" ht="43.2" customHeight="1" x14ac:dyDescent="0.3">
      <c r="A9" s="1"/>
      <c r="B9" s="2" t="s">
        <v>9</v>
      </c>
      <c r="C9" s="22">
        <v>68.91</v>
      </c>
      <c r="D9" s="39"/>
      <c r="E9" s="39" t="s">
        <v>10</v>
      </c>
      <c r="F9" s="43">
        <f>C20</f>
        <v>5464.1266799999994</v>
      </c>
      <c r="G9" s="39"/>
      <c r="H9" s="39"/>
      <c r="I9" s="39"/>
      <c r="J9" s="38"/>
      <c r="K9" s="38"/>
      <c r="L9" s="38"/>
      <c r="M9" s="38"/>
      <c r="N9" s="38"/>
    </row>
    <row r="10" spans="1:14" ht="39.6" customHeight="1" x14ac:dyDescent="0.3">
      <c r="A10" s="1"/>
      <c r="B10" s="2" t="s">
        <v>11</v>
      </c>
      <c r="C10" s="23">
        <v>0.18</v>
      </c>
      <c r="D10" s="39"/>
      <c r="E10" s="39" t="s">
        <v>12</v>
      </c>
      <c r="F10" s="43">
        <f>C26</f>
        <v>6422.1266799999994</v>
      </c>
      <c r="G10" s="39"/>
      <c r="H10" s="39" t="s">
        <v>13</v>
      </c>
      <c r="I10" s="3">
        <v>3.0000000000000001E-3</v>
      </c>
      <c r="J10" s="38"/>
      <c r="K10" s="38"/>
      <c r="L10" s="38"/>
      <c r="M10" s="38"/>
      <c r="N10" s="38"/>
    </row>
    <row r="11" spans="1:14" ht="43.2" customHeight="1" x14ac:dyDescent="0.3">
      <c r="A11" s="1"/>
      <c r="B11" s="2" t="s">
        <v>14</v>
      </c>
      <c r="C11" s="42">
        <f>C9*(1+C10)</f>
        <v>81.313799999999986</v>
      </c>
      <c r="D11" s="39"/>
      <c r="E11" s="39" t="s">
        <v>15</v>
      </c>
      <c r="F11" s="109">
        <f>F10/F98</f>
        <v>12.326538733205373</v>
      </c>
      <c r="G11" s="39"/>
      <c r="H11" s="39" t="s">
        <v>16</v>
      </c>
      <c r="I11" s="3">
        <v>1.4999999999999999E-2</v>
      </c>
      <c r="J11" s="38"/>
      <c r="K11" s="38"/>
      <c r="L11" s="38"/>
      <c r="M11" s="38"/>
      <c r="N11" s="38"/>
    </row>
    <row r="12" spans="1:14" ht="43.2" customHeight="1" x14ac:dyDescent="0.3">
      <c r="A12" s="1"/>
      <c r="B12" s="2" t="s">
        <v>17</v>
      </c>
      <c r="C12" s="23">
        <v>0.72</v>
      </c>
      <c r="D12" s="39"/>
      <c r="E12" s="39" t="s">
        <v>18</v>
      </c>
      <c r="F12" s="43">
        <f>F9*C12</f>
        <v>3934.1712095999992</v>
      </c>
      <c r="G12" s="39"/>
      <c r="H12" s="39" t="s">
        <v>19</v>
      </c>
      <c r="I12" s="25">
        <v>15</v>
      </c>
      <c r="J12" s="38"/>
      <c r="K12" s="38"/>
      <c r="L12" s="38"/>
      <c r="M12" s="38"/>
      <c r="N12" s="38"/>
    </row>
    <row r="13" spans="1:14" x14ac:dyDescent="0.3">
      <c r="A13" s="1"/>
      <c r="B13" s="2"/>
      <c r="C13" s="39"/>
      <c r="D13" s="39"/>
      <c r="E13" s="39"/>
      <c r="F13" s="39"/>
      <c r="G13" s="39"/>
      <c r="H13" s="39"/>
      <c r="I13" s="39"/>
      <c r="J13" s="38"/>
      <c r="K13" s="38"/>
      <c r="L13" s="38"/>
      <c r="M13" s="38"/>
      <c r="N13" s="38"/>
    </row>
    <row r="14" spans="1:14" ht="28.8" customHeight="1" x14ac:dyDescent="0.3">
      <c r="A14" s="1"/>
      <c r="B14" s="2"/>
      <c r="C14" s="39"/>
      <c r="D14" s="39"/>
      <c r="E14" s="39"/>
      <c r="F14" s="39"/>
      <c r="G14" s="39"/>
      <c r="H14" s="40" t="s">
        <v>20</v>
      </c>
      <c r="I14" s="4">
        <v>10000</v>
      </c>
      <c r="J14" s="38"/>
      <c r="K14" s="38"/>
      <c r="L14" s="38"/>
      <c r="M14" s="38"/>
      <c r="N14" s="38"/>
    </row>
    <row r="15" spans="1:14" ht="48.6" customHeight="1" x14ac:dyDescent="0.3">
      <c r="A15" s="1"/>
      <c r="B15" s="19" t="s">
        <v>21</v>
      </c>
      <c r="C15" s="47"/>
      <c r="D15" s="47"/>
      <c r="E15" s="47"/>
      <c r="F15" s="47"/>
      <c r="G15" s="47"/>
      <c r="H15" s="106" t="s">
        <v>22</v>
      </c>
      <c r="I15" s="107">
        <v>50</v>
      </c>
      <c r="J15" s="37"/>
      <c r="K15" s="37"/>
      <c r="L15" s="37"/>
      <c r="M15" s="37"/>
      <c r="N15" s="37"/>
    </row>
    <row r="16" spans="1:14" x14ac:dyDescent="0.3">
      <c r="A16" s="1"/>
      <c r="B16" s="2"/>
      <c r="C16" s="39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ht="28.8" customHeight="1" x14ac:dyDescent="0.3">
      <c r="A17" s="1"/>
      <c r="B17" s="20" t="s">
        <v>23</v>
      </c>
      <c r="C17" s="24">
        <v>64.5</v>
      </c>
      <c r="D17" s="38"/>
      <c r="E17" s="49" t="s">
        <v>24</v>
      </c>
      <c r="F17" s="38"/>
      <c r="G17" s="38"/>
      <c r="H17" s="38"/>
      <c r="I17" s="38"/>
      <c r="J17" s="38"/>
      <c r="K17" s="38"/>
      <c r="L17" s="38"/>
      <c r="M17" s="38"/>
      <c r="N17" s="38"/>
    </row>
    <row r="18" spans="1:14" ht="28.8" customHeight="1" x14ac:dyDescent="0.3">
      <c r="A18" s="1"/>
      <c r="B18" s="2" t="s">
        <v>24</v>
      </c>
      <c r="C18" s="48">
        <f>C17+H25</f>
        <v>67.198023951653965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28.8" customHeight="1" x14ac:dyDescent="0.3">
      <c r="A19" s="1"/>
      <c r="B19" s="2"/>
      <c r="C19" s="39"/>
      <c r="D19" s="38"/>
      <c r="E19" s="50" t="s">
        <v>25</v>
      </c>
      <c r="F19" s="50" t="s">
        <v>26</v>
      </c>
      <c r="G19" s="50" t="s">
        <v>27</v>
      </c>
      <c r="H19" s="50" t="s">
        <v>28</v>
      </c>
      <c r="I19" s="38"/>
      <c r="J19" s="38"/>
      <c r="K19" s="38"/>
      <c r="L19" s="38"/>
      <c r="M19" s="38"/>
      <c r="N19" s="38"/>
    </row>
    <row r="20" spans="1:14" ht="43.2" customHeight="1" x14ac:dyDescent="0.3">
      <c r="A20" s="1"/>
      <c r="B20" s="6" t="s">
        <v>29</v>
      </c>
      <c r="C20" s="51">
        <f>C18*C11</f>
        <v>5464.1266799999994</v>
      </c>
      <c r="D20" s="38"/>
      <c r="E20" s="39" t="s">
        <v>30</v>
      </c>
      <c r="F20" s="27">
        <v>0.6</v>
      </c>
      <c r="G20" s="22">
        <v>20</v>
      </c>
      <c r="H20" s="52">
        <f>-(F20*G20/$C$11-F20)</f>
        <v>0.45242357385831183</v>
      </c>
      <c r="I20" s="38"/>
      <c r="J20" s="38"/>
      <c r="K20" s="38"/>
      <c r="L20" s="38"/>
      <c r="M20" s="38"/>
      <c r="N20" s="38"/>
    </row>
    <row r="21" spans="1:14" ht="57.6" customHeight="1" x14ac:dyDescent="0.3">
      <c r="A21" s="1"/>
      <c r="B21" s="2" t="s">
        <v>31</v>
      </c>
      <c r="C21" s="43">
        <f>-F104</f>
        <v>-192</v>
      </c>
      <c r="D21" s="38"/>
      <c r="E21" s="39" t="s">
        <v>32</v>
      </c>
      <c r="F21" s="27">
        <v>1.1000000000000001</v>
      </c>
      <c r="G21" s="22">
        <v>30</v>
      </c>
      <c r="H21" s="52">
        <f>-(F21*G21/$C$11-F21)</f>
        <v>0.69416482811035762</v>
      </c>
      <c r="I21" s="38"/>
      <c r="J21" s="38"/>
      <c r="K21" s="38"/>
      <c r="L21" s="38"/>
      <c r="M21" s="38"/>
      <c r="N21" s="38"/>
    </row>
    <row r="22" spans="1:14" ht="28.8" customHeight="1" x14ac:dyDescent="0.3">
      <c r="A22" s="1"/>
      <c r="B22" s="2" t="s">
        <v>33</v>
      </c>
      <c r="C22" s="43">
        <f>F126</f>
        <v>1150</v>
      </c>
      <c r="D22" s="38"/>
      <c r="E22" s="39" t="s">
        <v>34</v>
      </c>
      <c r="F22" s="27">
        <v>0.9</v>
      </c>
      <c r="G22" s="22">
        <v>40</v>
      </c>
      <c r="H22" s="52">
        <f>-(F22*G22/$C$11-F22)</f>
        <v>0.45727072157493559</v>
      </c>
      <c r="I22" s="38"/>
      <c r="J22" s="38"/>
      <c r="K22" s="38"/>
      <c r="L22" s="38"/>
      <c r="M22" s="38"/>
      <c r="N22" s="38"/>
    </row>
    <row r="23" spans="1:14" ht="57.6" customHeight="1" x14ac:dyDescent="0.3">
      <c r="A23" s="1"/>
      <c r="B23" s="2" t="s">
        <v>35</v>
      </c>
      <c r="C23" s="25">
        <v>0</v>
      </c>
      <c r="D23" s="38"/>
      <c r="E23" s="39" t="s">
        <v>36</v>
      </c>
      <c r="F23" s="27">
        <v>0.6</v>
      </c>
      <c r="G23" s="22">
        <v>55</v>
      </c>
      <c r="H23" s="52">
        <f>-(F23*G23/$C$11-F23)</f>
        <v>0.19416482811035757</v>
      </c>
      <c r="I23" s="38"/>
      <c r="J23" s="38"/>
      <c r="K23" s="38"/>
      <c r="L23" s="38"/>
      <c r="M23" s="38"/>
      <c r="N23" s="38"/>
    </row>
    <row r="24" spans="1:14" ht="43.2" customHeight="1" x14ac:dyDescent="0.3">
      <c r="A24" s="1"/>
      <c r="B24" s="2" t="s">
        <v>37</v>
      </c>
      <c r="C24" s="25">
        <v>0</v>
      </c>
      <c r="D24" s="38"/>
      <c r="E24" s="53" t="s">
        <v>38</v>
      </c>
      <c r="F24" s="28">
        <v>0.9</v>
      </c>
      <c r="G24" s="53"/>
      <c r="H24" s="52">
        <f>-(F24*G24/$C$11-F24)</f>
        <v>0.9</v>
      </c>
      <c r="I24" s="38"/>
      <c r="J24" s="38"/>
      <c r="K24" s="38"/>
      <c r="L24" s="38"/>
      <c r="M24" s="38"/>
      <c r="N24" s="38"/>
    </row>
    <row r="25" spans="1:14" ht="43.2" customHeight="1" x14ac:dyDescent="0.3">
      <c r="A25" s="1"/>
      <c r="B25" s="7" t="s">
        <v>39</v>
      </c>
      <c r="C25" s="26">
        <v>0</v>
      </c>
      <c r="D25" s="38"/>
      <c r="E25" s="40" t="s">
        <v>40</v>
      </c>
      <c r="F25" s="39"/>
      <c r="G25" s="39"/>
      <c r="H25" s="132">
        <f>SUM(H20:H24)</f>
        <v>2.6980239516539628</v>
      </c>
      <c r="I25" s="38"/>
      <c r="J25" s="38"/>
      <c r="K25" s="38"/>
      <c r="L25" s="38"/>
      <c r="M25" s="38"/>
      <c r="N25" s="38"/>
    </row>
    <row r="26" spans="1:14" ht="28.8" customHeight="1" x14ac:dyDescent="0.3">
      <c r="A26" s="1"/>
      <c r="B26" s="6" t="s">
        <v>41</v>
      </c>
      <c r="C26" s="51">
        <f>SUM(C20:C25)</f>
        <v>6422.1266799999994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x14ac:dyDescent="0.3">
      <c r="A27" s="1"/>
      <c r="B27" s="2"/>
      <c r="C27" s="39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 ht="19.95" customHeight="1" x14ac:dyDescent="0.3">
      <c r="A28" s="1"/>
      <c r="B28" s="19" t="s">
        <v>42</v>
      </c>
      <c r="C28" s="4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x14ac:dyDescent="0.3">
      <c r="A29" s="1"/>
      <c r="B29" s="2"/>
      <c r="C29" s="39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 ht="27.6" x14ac:dyDescent="0.3">
      <c r="A30" s="1"/>
      <c r="B30" s="20" t="s">
        <v>18</v>
      </c>
      <c r="C30" s="39"/>
      <c r="D30" s="38"/>
      <c r="E30" s="38"/>
      <c r="F30" s="40" t="s">
        <v>43</v>
      </c>
      <c r="G30" s="39"/>
      <c r="H30" s="39"/>
      <c r="I30" s="40" t="s">
        <v>44</v>
      </c>
      <c r="J30" s="39"/>
      <c r="K30" s="38"/>
      <c r="L30" s="38"/>
      <c r="M30" s="38"/>
      <c r="N30" s="38"/>
    </row>
    <row r="31" spans="1:14" x14ac:dyDescent="0.3">
      <c r="A31" s="1"/>
      <c r="B31" s="2"/>
      <c r="C31" s="39"/>
      <c r="D31" s="40" t="s">
        <v>45</v>
      </c>
      <c r="E31" s="38"/>
      <c r="F31" s="39"/>
      <c r="G31" s="39"/>
      <c r="H31" s="39"/>
      <c r="I31" s="39"/>
      <c r="J31" s="39"/>
      <c r="K31" s="38"/>
      <c r="L31" s="38"/>
      <c r="M31" s="38"/>
      <c r="N31" s="38"/>
    </row>
    <row r="32" spans="1:14" x14ac:dyDescent="0.3">
      <c r="A32" s="1"/>
      <c r="B32" s="20" t="s">
        <v>46</v>
      </c>
      <c r="C32" s="23">
        <v>7.0000000000000007E-2</v>
      </c>
      <c r="D32" s="43">
        <f>$D$36*C32</f>
        <v>275.39198467199998</v>
      </c>
      <c r="E32" s="38"/>
      <c r="F32" s="39" t="s">
        <v>46</v>
      </c>
      <c r="G32" s="39"/>
      <c r="H32" s="45" t="s">
        <v>47</v>
      </c>
      <c r="I32" s="39" t="s">
        <v>46</v>
      </c>
      <c r="J32" s="44" t="s">
        <v>48</v>
      </c>
      <c r="K32" s="38"/>
      <c r="L32" s="38"/>
      <c r="M32" s="38"/>
      <c r="N32" s="38"/>
    </row>
    <row r="33" spans="1:14" ht="43.2" customHeight="1" x14ac:dyDescent="0.3">
      <c r="A33" s="1"/>
      <c r="B33" s="2" t="s">
        <v>49</v>
      </c>
      <c r="C33" s="23">
        <v>0.28999999999999998</v>
      </c>
      <c r="D33" s="43">
        <f>$D$36*C33</f>
        <v>1140.9096507839997</v>
      </c>
      <c r="E33" s="38"/>
      <c r="F33" s="39" t="s">
        <v>49</v>
      </c>
      <c r="G33" s="39"/>
      <c r="H33" s="3">
        <v>6.25E-2</v>
      </c>
      <c r="I33" s="39" t="s">
        <v>49</v>
      </c>
      <c r="J33" s="23">
        <v>0.1</v>
      </c>
      <c r="K33" s="38"/>
      <c r="L33" s="38"/>
      <c r="M33" s="38"/>
      <c r="N33" s="38"/>
    </row>
    <row r="34" spans="1:14" ht="28.8" customHeight="1" x14ac:dyDescent="0.3">
      <c r="A34" s="1"/>
      <c r="B34" s="2" t="s">
        <v>50</v>
      </c>
      <c r="C34" s="23">
        <v>0.57999999999999996</v>
      </c>
      <c r="D34" s="43">
        <f>$D$36*C34</f>
        <v>2281.8193015679994</v>
      </c>
      <c r="E34" s="38"/>
      <c r="F34" s="39" t="s">
        <v>50</v>
      </c>
      <c r="G34" s="39"/>
      <c r="H34" s="45" t="s">
        <v>51</v>
      </c>
      <c r="I34" s="39" t="s">
        <v>50</v>
      </c>
      <c r="J34" s="23">
        <v>0.01</v>
      </c>
      <c r="K34" s="38"/>
      <c r="L34" s="38"/>
      <c r="M34" s="38"/>
      <c r="N34" s="38"/>
    </row>
    <row r="35" spans="1:14" ht="43.2" customHeight="1" x14ac:dyDescent="0.3">
      <c r="A35" s="1"/>
      <c r="B35" s="7" t="s">
        <v>52</v>
      </c>
      <c r="C35" s="29">
        <v>0.06</v>
      </c>
      <c r="D35" s="43">
        <f>$D$36*C35</f>
        <v>236.05027257599994</v>
      </c>
      <c r="E35" s="38"/>
      <c r="F35" s="39" t="s">
        <v>52</v>
      </c>
      <c r="G35" s="39"/>
      <c r="H35" s="3">
        <v>0.12</v>
      </c>
      <c r="I35" s="39" t="s">
        <v>52</v>
      </c>
      <c r="J35" s="23">
        <v>0</v>
      </c>
      <c r="K35" s="38"/>
      <c r="L35" s="38"/>
      <c r="M35" s="38"/>
      <c r="N35" s="38"/>
    </row>
    <row r="36" spans="1:14" ht="43.2" customHeight="1" x14ac:dyDescent="0.3">
      <c r="A36" s="1"/>
      <c r="B36" s="6" t="s">
        <v>53</v>
      </c>
      <c r="C36" s="39"/>
      <c r="D36" s="51">
        <f>F12</f>
        <v>3934.1712095999992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3">
      <c r="A37" s="1"/>
      <c r="B37" s="2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ht="19.95" customHeight="1" x14ac:dyDescent="0.3">
      <c r="A38" s="1"/>
      <c r="B38" s="19" t="s">
        <v>54</v>
      </c>
      <c r="C38" s="4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</row>
    <row r="39" spans="1:14" x14ac:dyDescent="0.3">
      <c r="A39" s="1"/>
      <c r="B39" s="2"/>
      <c r="C39" s="39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3">
      <c r="A40" s="1"/>
      <c r="B40" s="20" t="s">
        <v>55</v>
      </c>
      <c r="C40" s="39"/>
      <c r="D40" s="38"/>
      <c r="E40" s="38"/>
      <c r="F40" s="40" t="s">
        <v>56</v>
      </c>
      <c r="G40" s="39"/>
      <c r="H40" s="39"/>
      <c r="I40" s="38"/>
      <c r="J40" s="38"/>
      <c r="K40" s="38"/>
      <c r="L40" s="38"/>
      <c r="M40" s="38"/>
      <c r="N40" s="38"/>
    </row>
    <row r="41" spans="1:14" ht="43.2" customHeight="1" x14ac:dyDescent="0.3">
      <c r="A41" s="1"/>
      <c r="B41" s="2" t="s">
        <v>49</v>
      </c>
      <c r="C41" s="43">
        <f>D33</f>
        <v>1140.9096507839997</v>
      </c>
      <c r="D41" s="38"/>
      <c r="E41" s="38"/>
      <c r="F41" s="39" t="s">
        <v>57</v>
      </c>
      <c r="G41" s="39"/>
      <c r="H41" s="43">
        <f>F9</f>
        <v>5464.1266799999994</v>
      </c>
      <c r="I41" s="38"/>
      <c r="J41" s="38"/>
      <c r="K41" s="38"/>
      <c r="L41" s="38"/>
      <c r="M41" s="38"/>
      <c r="N41" s="38"/>
    </row>
    <row r="42" spans="1:14" ht="43.2" customHeight="1" x14ac:dyDescent="0.3">
      <c r="A42" s="1"/>
      <c r="B42" s="2" t="s">
        <v>50</v>
      </c>
      <c r="C42" s="43">
        <f>D34</f>
        <v>2281.8193015679994</v>
      </c>
      <c r="D42" s="38"/>
      <c r="E42" s="38"/>
      <c r="F42" s="39" t="s">
        <v>58</v>
      </c>
      <c r="G42" s="39"/>
      <c r="H42" s="43">
        <f>C22</f>
        <v>1150</v>
      </c>
      <c r="I42" s="38"/>
      <c r="J42" s="38"/>
      <c r="K42" s="38"/>
      <c r="L42" s="38"/>
      <c r="M42" s="38"/>
      <c r="N42" s="38"/>
    </row>
    <row r="43" spans="1:14" ht="43.2" customHeight="1" x14ac:dyDescent="0.3">
      <c r="A43" s="1"/>
      <c r="B43" s="2" t="s">
        <v>52</v>
      </c>
      <c r="C43" s="43">
        <f>D35</f>
        <v>236.05027257599994</v>
      </c>
      <c r="D43" s="38"/>
      <c r="E43" s="38"/>
      <c r="F43" s="39" t="s">
        <v>59</v>
      </c>
      <c r="G43" s="39"/>
      <c r="H43" s="43">
        <f>H41*I10</f>
        <v>16.392380039999999</v>
      </c>
      <c r="I43" s="38"/>
      <c r="J43" s="38"/>
      <c r="K43" s="38"/>
      <c r="L43" s="38"/>
      <c r="M43" s="38"/>
      <c r="N43" s="38"/>
    </row>
    <row r="44" spans="1:14" ht="57.6" customHeight="1" x14ac:dyDescent="0.3">
      <c r="A44" s="1"/>
      <c r="B44" s="7" t="s">
        <v>60</v>
      </c>
      <c r="C44" s="54">
        <f>C45-C41-C42-C43</f>
        <v>3045.7524032560009</v>
      </c>
      <c r="D44" s="38"/>
      <c r="E44" s="38"/>
      <c r="F44" s="39" t="s">
        <v>61</v>
      </c>
      <c r="G44" s="39"/>
      <c r="H44" s="43">
        <f>F12*I11</f>
        <v>59.012568143999985</v>
      </c>
      <c r="I44" s="38"/>
      <c r="J44" s="38"/>
      <c r="K44" s="38"/>
      <c r="L44" s="38"/>
      <c r="M44" s="38"/>
      <c r="N44" s="38"/>
    </row>
    <row r="45" spans="1:14" ht="43.2" customHeight="1" x14ac:dyDescent="0.3">
      <c r="A45" s="1"/>
      <c r="B45" s="6" t="s">
        <v>62</v>
      </c>
      <c r="C45" s="51">
        <f>H46</f>
        <v>6704.5316281839996</v>
      </c>
      <c r="D45" s="38"/>
      <c r="E45" s="38"/>
      <c r="F45" s="53" t="s">
        <v>19</v>
      </c>
      <c r="G45" s="53"/>
      <c r="H45" s="54">
        <f>I12</f>
        <v>15</v>
      </c>
      <c r="I45" s="38"/>
      <c r="J45" s="38"/>
      <c r="K45" s="38"/>
      <c r="L45" s="38"/>
      <c r="M45" s="38"/>
      <c r="N45" s="38"/>
    </row>
    <row r="46" spans="1:14" ht="28.8" customHeight="1" x14ac:dyDescent="0.3">
      <c r="A46" s="1"/>
      <c r="B46" s="2"/>
      <c r="C46" s="39"/>
      <c r="D46" s="38"/>
      <c r="E46" s="38"/>
      <c r="F46" s="40" t="s">
        <v>63</v>
      </c>
      <c r="G46" s="40"/>
      <c r="H46" s="51">
        <f>SUM(H41:H45)</f>
        <v>6704.5316281839996</v>
      </c>
      <c r="I46" s="38"/>
      <c r="J46" s="38"/>
      <c r="K46" s="38"/>
      <c r="L46" s="38"/>
      <c r="M46" s="38"/>
      <c r="N46" s="38"/>
    </row>
    <row r="47" spans="1:14" x14ac:dyDescent="0.3">
      <c r="A47" s="1"/>
      <c r="B47" s="2"/>
      <c r="C47" s="39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ht="19.95" customHeight="1" x14ac:dyDescent="0.3">
      <c r="A48" s="1"/>
      <c r="B48" s="176" t="s">
        <v>64</v>
      </c>
      <c r="C48" s="17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spans="1:14" x14ac:dyDescent="0.3">
      <c r="A49" s="1"/>
      <c r="B49" s="2"/>
      <c r="C49" s="39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ht="43.2" customHeight="1" x14ac:dyDescent="0.3">
      <c r="A50" s="1"/>
      <c r="B50" s="20" t="s">
        <v>65</v>
      </c>
      <c r="C50" s="39"/>
      <c r="D50" s="38"/>
      <c r="E50" s="38"/>
      <c r="F50" s="40" t="s">
        <v>66</v>
      </c>
      <c r="G50" s="39"/>
      <c r="H50" s="38"/>
      <c r="I50" s="38"/>
      <c r="J50" s="38"/>
      <c r="K50" s="38"/>
      <c r="L50" s="38"/>
      <c r="M50" s="38"/>
      <c r="N50" s="38"/>
    </row>
    <row r="51" spans="1:14" ht="43.2" customHeight="1" x14ac:dyDescent="0.3">
      <c r="A51" s="1"/>
      <c r="B51" s="2" t="s">
        <v>10</v>
      </c>
      <c r="C51" s="43">
        <f>F9</f>
        <v>5464.1266799999994</v>
      </c>
      <c r="D51" s="38"/>
      <c r="E51" s="38"/>
      <c r="F51" s="39" t="s">
        <v>67</v>
      </c>
      <c r="G51" s="23">
        <v>0.1</v>
      </c>
      <c r="H51" s="38"/>
      <c r="I51" s="38"/>
      <c r="J51" s="38"/>
      <c r="K51" s="38"/>
      <c r="L51" s="38"/>
      <c r="M51" s="38"/>
      <c r="N51" s="38"/>
    </row>
    <row r="52" spans="1:14" ht="57.6" customHeight="1" x14ac:dyDescent="0.3">
      <c r="A52" s="1"/>
      <c r="B52" s="2" t="s">
        <v>68</v>
      </c>
      <c r="C52" s="43">
        <f>-F141</f>
        <v>-1692</v>
      </c>
      <c r="D52" s="38"/>
      <c r="E52" s="38"/>
      <c r="F52" s="39" t="s">
        <v>69</v>
      </c>
      <c r="G52" s="43">
        <f>G51*F110</f>
        <v>198</v>
      </c>
      <c r="H52" s="38"/>
      <c r="I52" s="38"/>
      <c r="J52" s="38"/>
      <c r="K52" s="38"/>
      <c r="L52" s="38"/>
      <c r="M52" s="38"/>
      <c r="N52" s="38"/>
    </row>
    <row r="53" spans="1:14" ht="72" customHeight="1" x14ac:dyDescent="0.3">
      <c r="A53" s="1"/>
      <c r="B53" s="7" t="s">
        <v>70</v>
      </c>
      <c r="C53" s="54">
        <f>F111</f>
        <v>1150</v>
      </c>
      <c r="D53" s="38"/>
      <c r="E53" s="38"/>
      <c r="F53" s="39" t="s">
        <v>71</v>
      </c>
      <c r="G53" s="30">
        <v>8</v>
      </c>
      <c r="H53" s="38"/>
      <c r="I53" s="38"/>
      <c r="J53" s="38"/>
      <c r="K53" s="38"/>
      <c r="L53" s="38"/>
      <c r="M53" s="38"/>
      <c r="N53" s="38"/>
    </row>
    <row r="54" spans="1:14" ht="72" customHeight="1" x14ac:dyDescent="0.3">
      <c r="A54" s="1"/>
      <c r="B54" s="6" t="s">
        <v>72</v>
      </c>
      <c r="C54" s="51">
        <f>SUM(C51:C53)</f>
        <v>4922.1266799999994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</row>
    <row r="55" spans="1:14" ht="43.2" customHeight="1" x14ac:dyDescent="0.3">
      <c r="A55" s="1"/>
      <c r="B55" s="2" t="s">
        <v>73</v>
      </c>
      <c r="C55" s="43">
        <f>-G52</f>
        <v>-198</v>
      </c>
      <c r="D55" s="38"/>
      <c r="E55" s="38"/>
      <c r="F55" s="40" t="s">
        <v>74</v>
      </c>
      <c r="G55" s="39"/>
      <c r="H55" s="38"/>
      <c r="I55" s="38"/>
      <c r="J55" s="38"/>
      <c r="K55" s="38"/>
      <c r="L55" s="38"/>
      <c r="M55" s="38"/>
      <c r="N55" s="38"/>
    </row>
    <row r="56" spans="1:14" ht="72" customHeight="1" x14ac:dyDescent="0.3">
      <c r="A56" s="1"/>
      <c r="B56" s="2" t="s">
        <v>75</v>
      </c>
      <c r="C56" s="43">
        <f>-G58</f>
        <v>-1230.5316699999998</v>
      </c>
      <c r="D56" s="38"/>
      <c r="E56" s="38"/>
      <c r="F56" s="39" t="s">
        <v>76</v>
      </c>
      <c r="G56" s="43">
        <f>C54</f>
        <v>4922.1266799999994</v>
      </c>
      <c r="H56" s="38"/>
      <c r="I56" s="38"/>
      <c r="J56" s="38"/>
      <c r="K56" s="38"/>
      <c r="L56" s="38"/>
      <c r="M56" s="38"/>
      <c r="N56" s="38"/>
    </row>
    <row r="57" spans="1:14" ht="72" customHeight="1" x14ac:dyDescent="0.3">
      <c r="A57" s="1"/>
      <c r="B57" s="2" t="s">
        <v>77</v>
      </c>
      <c r="C57" s="43">
        <f>-F130</f>
        <v>-300</v>
      </c>
      <c r="D57" s="38"/>
      <c r="E57" s="38"/>
      <c r="F57" s="39" t="s">
        <v>78</v>
      </c>
      <c r="G57" s="23">
        <v>0.25</v>
      </c>
      <c r="H57" s="38"/>
      <c r="I57" s="38"/>
      <c r="J57" s="38"/>
      <c r="K57" s="38"/>
      <c r="L57" s="38"/>
      <c r="M57" s="38"/>
      <c r="N57" s="38"/>
    </row>
    <row r="58" spans="1:14" ht="72" customHeight="1" x14ac:dyDescent="0.3">
      <c r="A58" s="1"/>
      <c r="B58" s="7" t="s">
        <v>79</v>
      </c>
      <c r="C58" s="54">
        <f>(G58+G52)*F70</f>
        <v>1184.5120253024909</v>
      </c>
      <c r="D58" s="38"/>
      <c r="E58" s="38"/>
      <c r="F58" s="39" t="s">
        <v>80</v>
      </c>
      <c r="G58" s="43">
        <f>G56*G57</f>
        <v>1230.5316699999998</v>
      </c>
      <c r="H58" s="38"/>
      <c r="I58" s="38"/>
      <c r="J58" s="38"/>
      <c r="K58" s="38"/>
      <c r="L58" s="38"/>
      <c r="M58" s="38"/>
      <c r="N58" s="38"/>
    </row>
    <row r="59" spans="1:14" ht="57.6" customHeight="1" x14ac:dyDescent="0.3">
      <c r="A59" s="1"/>
      <c r="B59" s="6" t="s">
        <v>81</v>
      </c>
      <c r="C59" s="104">
        <f>SUM(C54:C58)</f>
        <v>4378.1070353024907</v>
      </c>
      <c r="D59" s="38"/>
      <c r="E59" s="38"/>
      <c r="F59" s="39" t="s">
        <v>82</v>
      </c>
      <c r="G59" s="30">
        <v>5</v>
      </c>
      <c r="H59" s="38"/>
      <c r="I59" s="38"/>
      <c r="J59" s="38"/>
      <c r="K59" s="38"/>
      <c r="L59" s="38"/>
      <c r="M59" s="38"/>
      <c r="N59" s="38"/>
    </row>
    <row r="60" spans="1:14" x14ac:dyDescent="0.3">
      <c r="A60" s="1"/>
      <c r="B60" s="2"/>
      <c r="C60" s="39"/>
      <c r="D60" s="38"/>
      <c r="E60" s="38"/>
      <c r="F60" s="39"/>
      <c r="G60" s="39"/>
      <c r="H60" s="38"/>
      <c r="I60" s="38"/>
      <c r="J60" s="38"/>
      <c r="K60" s="38"/>
      <c r="L60" s="38"/>
      <c r="M60" s="38"/>
      <c r="N60" s="38"/>
    </row>
    <row r="61" spans="1:14" ht="72" customHeight="1" x14ac:dyDescent="0.3">
      <c r="A61" s="1"/>
      <c r="B61" s="20" t="s">
        <v>83</v>
      </c>
      <c r="C61" s="30">
        <v>5</v>
      </c>
      <c r="D61" s="38"/>
      <c r="E61" s="38"/>
      <c r="F61" s="40" t="s">
        <v>84</v>
      </c>
      <c r="G61" s="43">
        <f>C58</f>
        <v>1184.5120253024909</v>
      </c>
      <c r="H61" s="38"/>
      <c r="I61" s="38"/>
      <c r="J61" s="38"/>
      <c r="K61" s="38"/>
      <c r="L61" s="38"/>
      <c r="M61" s="38"/>
      <c r="N61" s="38"/>
    </row>
    <row r="62" spans="1:14" x14ac:dyDescent="0.3">
      <c r="A62" s="1"/>
      <c r="B62" s="1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</row>
    <row r="63" spans="1:14" ht="19.95" customHeight="1" x14ac:dyDescent="0.3">
      <c r="A63" s="1"/>
      <c r="B63" s="18" t="s">
        <v>85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</row>
    <row r="64" spans="1:14" ht="14.4" customHeight="1" x14ac:dyDescent="0.3">
      <c r="A64" s="1"/>
      <c r="B64" s="1"/>
      <c r="C64" s="38"/>
      <c r="D64" s="178" t="s">
        <v>86</v>
      </c>
      <c r="E64" s="179"/>
      <c r="F64" s="179"/>
      <c r="G64" s="178" t="s">
        <v>87</v>
      </c>
      <c r="H64" s="179"/>
      <c r="I64" s="179"/>
      <c r="J64" s="178" t="s">
        <v>88</v>
      </c>
      <c r="K64" s="179"/>
      <c r="L64" s="179"/>
      <c r="M64" s="179"/>
      <c r="N64" s="179"/>
    </row>
    <row r="65" spans="1:14" x14ac:dyDescent="0.3">
      <c r="A65" s="1"/>
      <c r="B65" s="1"/>
      <c r="C65" s="38"/>
      <c r="D65" s="56">
        <v>2012</v>
      </c>
      <c r="E65" s="56">
        <v>2013</v>
      </c>
      <c r="F65" s="56">
        <v>2014</v>
      </c>
      <c r="G65" s="56" t="s">
        <v>89</v>
      </c>
      <c r="H65" s="56" t="s">
        <v>90</v>
      </c>
      <c r="I65" s="56">
        <v>2014</v>
      </c>
      <c r="J65" s="56">
        <v>2015</v>
      </c>
      <c r="K65" s="56">
        <v>2016</v>
      </c>
      <c r="L65" s="56">
        <v>2017</v>
      </c>
      <c r="M65" s="56">
        <v>2018</v>
      </c>
      <c r="N65" s="56">
        <v>2019</v>
      </c>
    </row>
    <row r="66" spans="1:14" ht="43.2" customHeight="1" x14ac:dyDescent="0.3">
      <c r="A66" s="1"/>
      <c r="B66" s="2" t="s">
        <v>91</v>
      </c>
      <c r="C66" s="38"/>
      <c r="D66" s="31">
        <f>D82/C82-1</f>
        <v>0.11207319065512178</v>
      </c>
      <c r="E66" s="31">
        <f t="shared" ref="E66:F66" si="0">E82/D82-1</f>
        <v>2.7471720287938872E-2</v>
      </c>
      <c r="F66" s="31">
        <f t="shared" si="0"/>
        <v>1.7014583929082061E-2</v>
      </c>
      <c r="G66" s="57"/>
      <c r="H66" s="57"/>
      <c r="I66" s="57"/>
      <c r="J66" s="31">
        <v>3.5000000000000003E-2</v>
      </c>
      <c r="K66" s="31">
        <v>2.8000000000000001E-2</v>
      </c>
      <c r="L66" s="31">
        <v>3.2000000000000001E-2</v>
      </c>
      <c r="M66" s="31">
        <v>2.5000000000000001E-2</v>
      </c>
      <c r="N66" s="31">
        <v>2.1999999999999999E-2</v>
      </c>
    </row>
    <row r="67" spans="1:14" ht="28.8" customHeight="1" x14ac:dyDescent="0.3">
      <c r="A67" s="1"/>
      <c r="B67" s="2" t="s">
        <v>92</v>
      </c>
      <c r="C67" s="38"/>
      <c r="D67" s="32">
        <f>D83/D82</f>
        <v>0.70074922873512557</v>
      </c>
      <c r="E67" s="32">
        <f t="shared" ref="E67:F67" si="1">E83/E82</f>
        <v>0.69917071775807837</v>
      </c>
      <c r="F67" s="32">
        <f t="shared" si="1"/>
        <v>0.70012652889076343</v>
      </c>
      <c r="G67" s="58"/>
      <c r="H67" s="58"/>
      <c r="I67" s="58"/>
      <c r="J67" s="58">
        <f>AVERAGE($D67:$F67)</f>
        <v>0.70001549179465583</v>
      </c>
      <c r="K67" s="58">
        <f t="shared" ref="K67:N69" si="2">AVERAGE($D67:$F67)</f>
        <v>0.70001549179465583</v>
      </c>
      <c r="L67" s="58">
        <f t="shared" si="2"/>
        <v>0.70001549179465583</v>
      </c>
      <c r="M67" s="58">
        <f t="shared" si="2"/>
        <v>0.70001549179465583</v>
      </c>
      <c r="N67" s="58">
        <f t="shared" si="2"/>
        <v>0.70001549179465583</v>
      </c>
    </row>
    <row r="68" spans="1:14" ht="28.8" customHeight="1" x14ac:dyDescent="0.3">
      <c r="A68" s="1"/>
      <c r="B68" s="2" t="s">
        <v>93</v>
      </c>
      <c r="C68" s="38"/>
      <c r="D68" s="32">
        <f>D86/D82</f>
        <v>0.21463199647421771</v>
      </c>
      <c r="E68" s="32">
        <f t="shared" ref="E68:F68" si="3">E86/E82</f>
        <v>0.22004575350300257</v>
      </c>
      <c r="F68" s="32">
        <f t="shared" si="3"/>
        <v>0.2266273021228736</v>
      </c>
      <c r="G68" s="58"/>
      <c r="H68" s="58"/>
      <c r="I68" s="58"/>
      <c r="J68" s="58">
        <f>AVERAGE($D68:$F68)</f>
        <v>0.22043501736669799</v>
      </c>
      <c r="K68" s="58">
        <f t="shared" si="2"/>
        <v>0.22043501736669799</v>
      </c>
      <c r="L68" s="58">
        <f t="shared" si="2"/>
        <v>0.22043501736669799</v>
      </c>
      <c r="M68" s="58">
        <f t="shared" si="2"/>
        <v>0.22043501736669799</v>
      </c>
      <c r="N68" s="58">
        <f t="shared" si="2"/>
        <v>0.22043501736669799</v>
      </c>
    </row>
    <row r="69" spans="1:14" ht="28.8" customHeight="1" x14ac:dyDescent="0.3">
      <c r="A69" s="1"/>
      <c r="B69" s="2" t="s">
        <v>94</v>
      </c>
      <c r="C69" s="38"/>
      <c r="D69" s="32">
        <f>D87/D82</f>
        <v>2.2036139268400177E-2</v>
      </c>
      <c r="E69" s="32">
        <f t="shared" ref="E69:F69" si="4">E87/E82</f>
        <v>2.2876751501286818E-2</v>
      </c>
      <c r="F69" s="32">
        <f t="shared" si="4"/>
        <v>2.4602839870659355E-2</v>
      </c>
      <c r="G69" s="58"/>
      <c r="H69" s="58"/>
      <c r="I69" s="58"/>
      <c r="J69" s="58">
        <f>AVERAGE($D69:$F69)</f>
        <v>2.317191021344878E-2</v>
      </c>
      <c r="K69" s="58">
        <f t="shared" si="2"/>
        <v>2.317191021344878E-2</v>
      </c>
      <c r="L69" s="58">
        <f t="shared" si="2"/>
        <v>2.317191021344878E-2</v>
      </c>
      <c r="M69" s="58">
        <f t="shared" si="2"/>
        <v>2.317191021344878E-2</v>
      </c>
      <c r="N69" s="58">
        <f t="shared" si="2"/>
        <v>2.317191021344878E-2</v>
      </c>
    </row>
    <row r="70" spans="1:14" ht="28.8" customHeight="1" x14ac:dyDescent="0.3">
      <c r="A70" s="1"/>
      <c r="B70" s="2" t="s">
        <v>95</v>
      </c>
      <c r="C70" s="38"/>
      <c r="D70" s="32">
        <f>D95/D94</f>
        <v>0.60270270270270265</v>
      </c>
      <c r="E70" s="32">
        <f t="shared" ref="E70:F70" si="5">E95/E94</f>
        <v>0.62028985507246381</v>
      </c>
      <c r="F70" s="32">
        <f t="shared" si="5"/>
        <v>0.8291814946619217</v>
      </c>
      <c r="G70" s="58"/>
      <c r="H70" s="58"/>
      <c r="I70" s="58"/>
      <c r="J70" s="58">
        <f>AVERAGE($D70:$F70)</f>
        <v>0.6840580174790295</v>
      </c>
      <c r="K70" s="32">
        <f>$J$70</f>
        <v>0.6840580174790295</v>
      </c>
      <c r="L70" s="32">
        <f t="shared" ref="L70:N70" si="6">$J$70</f>
        <v>0.6840580174790295</v>
      </c>
      <c r="M70" s="32">
        <f t="shared" si="6"/>
        <v>0.6840580174790295</v>
      </c>
      <c r="N70" s="32">
        <f t="shared" si="6"/>
        <v>0.6840580174790295</v>
      </c>
    </row>
    <row r="71" spans="1:14" x14ac:dyDescent="0.3">
      <c r="A71" s="1"/>
      <c r="B71" s="2"/>
      <c r="C71" s="38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</row>
    <row r="72" spans="1:14" ht="28.8" customHeight="1" x14ac:dyDescent="0.3">
      <c r="A72" s="1"/>
      <c r="B72" s="2" t="s">
        <v>96</v>
      </c>
      <c r="C72" s="38"/>
      <c r="D72" s="32">
        <f>D105/D83</f>
        <v>0.15094339622641509</v>
      </c>
      <c r="E72" s="32">
        <f t="shared" ref="E72:F72" si="7">E105/E83</f>
        <v>0.15378323108384459</v>
      </c>
      <c r="F72" s="32">
        <f t="shared" si="7"/>
        <v>0.16164658634538154</v>
      </c>
      <c r="G72" s="58"/>
      <c r="H72" s="58"/>
      <c r="I72" s="58"/>
      <c r="J72" s="58">
        <f>AVERAGE($D72:$F72)</f>
        <v>0.15545773788521375</v>
      </c>
      <c r="K72" s="58">
        <f>AVERAGE($D72:$F72)</f>
        <v>0.15545773788521375</v>
      </c>
      <c r="L72" s="58">
        <f>AVERAGE($D72:$F72)</f>
        <v>0.15545773788521375</v>
      </c>
      <c r="M72" s="58">
        <f>AVERAGE($D72:$F72)</f>
        <v>0.15545773788521375</v>
      </c>
      <c r="N72" s="58">
        <f>AVERAGE($D72:$F72)</f>
        <v>0.15545773788521375</v>
      </c>
    </row>
    <row r="73" spans="1:14" ht="57.6" customHeight="1" x14ac:dyDescent="0.3">
      <c r="A73" s="1"/>
      <c r="B73" s="2" t="s">
        <v>97</v>
      </c>
      <c r="C73" s="38"/>
      <c r="D73" s="32">
        <f>D106/D86</f>
        <v>0.10266940451745379</v>
      </c>
      <c r="E73" s="32">
        <f t="shared" ref="E73:F73" si="8">E106/E86</f>
        <v>0.10721247563352826</v>
      </c>
      <c r="F73" s="32">
        <f t="shared" si="8"/>
        <v>0.10545905707196029</v>
      </c>
      <c r="G73" s="58"/>
      <c r="H73" s="58"/>
      <c r="I73" s="58"/>
      <c r="J73" s="58">
        <f t="shared" ref="J73:N75" si="9">AVERAGE($D73:$F73)</f>
        <v>0.10511364574098077</v>
      </c>
      <c r="K73" s="58">
        <f t="shared" si="9"/>
        <v>0.10511364574098077</v>
      </c>
      <c r="L73" s="58">
        <f t="shared" si="9"/>
        <v>0.10511364574098077</v>
      </c>
      <c r="M73" s="58">
        <f t="shared" si="9"/>
        <v>0.10511364574098077</v>
      </c>
      <c r="N73" s="58">
        <f t="shared" si="9"/>
        <v>0.10511364574098077</v>
      </c>
    </row>
    <row r="74" spans="1:14" ht="43.2" customHeight="1" x14ac:dyDescent="0.3">
      <c r="A74" s="1"/>
      <c r="B74" s="2" t="s">
        <v>98</v>
      </c>
      <c r="C74" s="38"/>
      <c r="D74" s="32">
        <f>D121/D83</f>
        <v>0.13626834381551362</v>
      </c>
      <c r="E74" s="32">
        <f t="shared" ref="E74:F74" si="10">E121/E83</f>
        <v>0.1411042944785276</v>
      </c>
      <c r="F74" s="32">
        <f t="shared" si="10"/>
        <v>0.14457831325301204</v>
      </c>
      <c r="G74" s="58"/>
      <c r="H74" s="58"/>
      <c r="I74" s="58"/>
      <c r="J74" s="58">
        <f t="shared" si="9"/>
        <v>0.1406503171823511</v>
      </c>
      <c r="K74" s="58">
        <f t="shared" si="9"/>
        <v>0.1406503171823511</v>
      </c>
      <c r="L74" s="58">
        <f t="shared" si="9"/>
        <v>0.1406503171823511</v>
      </c>
      <c r="M74" s="58">
        <f t="shared" si="9"/>
        <v>0.1406503171823511</v>
      </c>
      <c r="N74" s="58">
        <f t="shared" si="9"/>
        <v>0.1406503171823511</v>
      </c>
    </row>
    <row r="75" spans="1:14" ht="57.6" customHeight="1" x14ac:dyDescent="0.3">
      <c r="A75" s="1"/>
      <c r="B75" s="2" t="s">
        <v>99</v>
      </c>
      <c r="C75" s="38"/>
      <c r="D75" s="32">
        <f>D122/D86</f>
        <v>0.2943189596167009</v>
      </c>
      <c r="E75" s="32">
        <f t="shared" ref="E75:F75" si="11">E122/E86</f>
        <v>0.29889538661468484</v>
      </c>
      <c r="F75" s="32">
        <f t="shared" si="11"/>
        <v>0.31017369727047145</v>
      </c>
      <c r="G75" s="58"/>
      <c r="H75" s="58"/>
      <c r="I75" s="58"/>
      <c r="J75" s="58">
        <f t="shared" si="9"/>
        <v>0.30112934783395234</v>
      </c>
      <c r="K75" s="58">
        <f t="shared" si="9"/>
        <v>0.30112934783395234</v>
      </c>
      <c r="L75" s="58">
        <f t="shared" si="9"/>
        <v>0.30112934783395234</v>
      </c>
      <c r="M75" s="58">
        <f t="shared" si="9"/>
        <v>0.30112934783395234</v>
      </c>
      <c r="N75" s="58">
        <f t="shared" si="9"/>
        <v>0.30112934783395234</v>
      </c>
    </row>
    <row r="76" spans="1:14" x14ac:dyDescent="0.3">
      <c r="A76" s="1"/>
      <c r="B76" s="2"/>
      <c r="C76" s="38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spans="1:14" ht="28.8" customHeight="1" x14ac:dyDescent="0.3">
      <c r="A77" s="1"/>
      <c r="B77" s="2" t="s">
        <v>100</v>
      </c>
      <c r="C77" s="38"/>
      <c r="D77" s="32">
        <v>2.1000000000000001E-2</v>
      </c>
      <c r="E77" s="32">
        <v>2.1000000000000001E-2</v>
      </c>
      <c r="F77" s="32">
        <v>0.02</v>
      </c>
      <c r="G77" s="58"/>
      <c r="H77" s="58"/>
      <c r="I77" s="58"/>
      <c r="J77" s="58">
        <f>AVERAGE($D77:$F77)</f>
        <v>2.0666666666666667E-2</v>
      </c>
      <c r="K77" s="58">
        <f>AVERAGE($D77:$F77)</f>
        <v>2.0666666666666667E-2</v>
      </c>
      <c r="L77" s="58">
        <f>AVERAGE($D77:$F77)</f>
        <v>2.0666666666666667E-2</v>
      </c>
      <c r="M77" s="58">
        <f>AVERAGE($D77:$F77)</f>
        <v>2.0666666666666667E-2</v>
      </c>
      <c r="N77" s="58">
        <f>AVERAGE($D77:$F77)</f>
        <v>2.0666666666666667E-2</v>
      </c>
    </row>
    <row r="78" spans="1:14" x14ac:dyDescent="0.3">
      <c r="A78" s="1"/>
      <c r="B78" s="2"/>
      <c r="C78" s="38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</row>
    <row r="79" spans="1:14" ht="19.95" customHeight="1" x14ac:dyDescent="0.3">
      <c r="A79" s="1"/>
      <c r="B79" s="19" t="s">
        <v>101</v>
      </c>
      <c r="C79" s="37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0" spans="1:14" ht="14.4" customHeight="1" x14ac:dyDescent="0.3">
      <c r="A80" s="1"/>
      <c r="B80" s="2"/>
      <c r="C80" s="38"/>
      <c r="D80" s="178" t="s">
        <v>86</v>
      </c>
      <c r="E80" s="179"/>
      <c r="F80" s="179"/>
      <c r="G80" s="178" t="s">
        <v>87</v>
      </c>
      <c r="H80" s="179"/>
      <c r="I80" s="179"/>
      <c r="J80" s="178" t="s">
        <v>88</v>
      </c>
      <c r="K80" s="179"/>
      <c r="L80" s="179"/>
      <c r="M80" s="179"/>
      <c r="N80" s="179"/>
    </row>
    <row r="81" spans="1:14" x14ac:dyDescent="0.3">
      <c r="A81" s="1"/>
      <c r="B81" s="2"/>
      <c r="C81" s="61">
        <v>2011</v>
      </c>
      <c r="D81" s="56">
        <v>2012</v>
      </c>
      <c r="E81" s="56">
        <v>2013</v>
      </c>
      <c r="F81" s="56">
        <v>2014</v>
      </c>
      <c r="G81" s="56" t="s">
        <v>89</v>
      </c>
      <c r="H81" s="56" t="s">
        <v>90</v>
      </c>
      <c r="I81" s="56">
        <v>2014</v>
      </c>
      <c r="J81" s="56">
        <v>2015</v>
      </c>
      <c r="K81" s="56">
        <v>2016</v>
      </c>
      <c r="L81" s="56">
        <v>2017</v>
      </c>
      <c r="M81" s="56">
        <v>2018</v>
      </c>
      <c r="N81" s="56">
        <v>2019</v>
      </c>
    </row>
    <row r="82" spans="1:14" x14ac:dyDescent="0.3">
      <c r="A82" s="1"/>
      <c r="B82" s="2" t="s">
        <v>102</v>
      </c>
      <c r="C82" s="33">
        <v>6121</v>
      </c>
      <c r="D82" s="34">
        <v>6807</v>
      </c>
      <c r="E82" s="34">
        <v>6994</v>
      </c>
      <c r="F82" s="34">
        <v>7113</v>
      </c>
      <c r="G82" s="62"/>
      <c r="H82" s="62"/>
      <c r="I82" s="62"/>
      <c r="J82" s="63">
        <f>F82*(1+J66)</f>
        <v>7361.954999999999</v>
      </c>
      <c r="K82" s="63">
        <f>J82*(1+K66)</f>
        <v>7568.0897399999994</v>
      </c>
      <c r="L82" s="63">
        <f>K82*(1+L66)</f>
        <v>7810.2686116799996</v>
      </c>
      <c r="M82" s="63">
        <f>L82*(1+M66)</f>
        <v>8005.5253269719988</v>
      </c>
      <c r="N82" s="63">
        <f>M82*(1+N66)</f>
        <v>8181.6468841653832</v>
      </c>
    </row>
    <row r="83" spans="1:14" ht="43.2" customHeight="1" x14ac:dyDescent="0.3">
      <c r="A83" s="1"/>
      <c r="B83" s="2" t="s">
        <v>103</v>
      </c>
      <c r="C83" s="38"/>
      <c r="D83" s="34">
        <v>4770</v>
      </c>
      <c r="E83" s="35">
        <v>4890</v>
      </c>
      <c r="F83" s="35">
        <v>4980</v>
      </c>
      <c r="G83" s="64"/>
      <c r="H83" s="64"/>
      <c r="I83" s="64"/>
      <c r="J83" s="65">
        <f>J82*AVERAGE($D$67:$F$67)</f>
        <v>5153.482549895125</v>
      </c>
      <c r="K83" s="65">
        <f>K82*AVERAGE($D$67:$F$67)</f>
        <v>5297.7800612921883</v>
      </c>
      <c r="L83" s="65">
        <f>L82*AVERAGE($D$67:$F$67)</f>
        <v>5467.3090232535387</v>
      </c>
      <c r="M83" s="65">
        <f>M82*AVERAGE($D$67:$F$67)</f>
        <v>5603.9917488348765</v>
      </c>
      <c r="N83" s="65">
        <f>N82*AVERAGE($D$67:$F$67)</f>
        <v>5727.2795673092442</v>
      </c>
    </row>
    <row r="84" spans="1:14" ht="28.8" customHeight="1" x14ac:dyDescent="0.3">
      <c r="A84" s="1"/>
      <c r="B84" s="6" t="s">
        <v>104</v>
      </c>
      <c r="C84" s="38"/>
      <c r="D84" s="36">
        <v>2037</v>
      </c>
      <c r="E84" s="36">
        <v>2104</v>
      </c>
      <c r="F84" s="36">
        <v>2133</v>
      </c>
      <c r="G84" s="64"/>
      <c r="H84" s="64"/>
      <c r="I84" s="64"/>
      <c r="J84" s="67">
        <f>J82-J83</f>
        <v>2208.472450104874</v>
      </c>
      <c r="K84" s="67">
        <f>K82-K83</f>
        <v>2270.3096787078111</v>
      </c>
      <c r="L84" s="67">
        <f>L82-L83</f>
        <v>2342.9595884264609</v>
      </c>
      <c r="M84" s="67">
        <f>M82-M83</f>
        <v>2401.5335781371223</v>
      </c>
      <c r="N84" s="67">
        <f>N82-N83</f>
        <v>2454.367316856139</v>
      </c>
    </row>
    <row r="85" spans="1:14" x14ac:dyDescent="0.3">
      <c r="A85" s="1"/>
      <c r="B85" s="2"/>
      <c r="C85" s="38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</row>
    <row r="86" spans="1:14" ht="28.8" customHeight="1" x14ac:dyDescent="0.3">
      <c r="A86" s="1"/>
      <c r="B86" s="2" t="s">
        <v>105</v>
      </c>
      <c r="C86" s="38"/>
      <c r="D86" s="35">
        <v>1461</v>
      </c>
      <c r="E86" s="35">
        <v>1539</v>
      </c>
      <c r="F86" s="35">
        <v>1612</v>
      </c>
      <c r="G86" s="64"/>
      <c r="H86" s="64"/>
      <c r="I86" s="64"/>
      <c r="J86" s="65">
        <f>J82*AVERAGE($D$68:$F$68)</f>
        <v>1622.8326782778488</v>
      </c>
      <c r="K86" s="65">
        <f>K82*AVERAGE($D$68:$F$68)</f>
        <v>1668.2719932696286</v>
      </c>
      <c r="L86" s="65">
        <f>L82*AVERAGE($D$68:$F$68)</f>
        <v>1721.6566970542569</v>
      </c>
      <c r="M86" s="65">
        <f>M82*AVERAGE($D$68:$F$68)</f>
        <v>1764.6981144806132</v>
      </c>
      <c r="N86" s="65">
        <f>N82*AVERAGE($D$68:$F$68)</f>
        <v>1803.5214729991867</v>
      </c>
    </row>
    <row r="87" spans="1:14" ht="57.6" customHeight="1" x14ac:dyDescent="0.3">
      <c r="A87" s="1"/>
      <c r="B87" s="2" t="s">
        <v>106</v>
      </c>
      <c r="C87" s="38"/>
      <c r="D87" s="35">
        <v>150</v>
      </c>
      <c r="E87" s="35">
        <v>160</v>
      </c>
      <c r="F87" s="35">
        <v>175</v>
      </c>
      <c r="G87" s="64"/>
      <c r="H87" s="64"/>
      <c r="I87" s="64"/>
      <c r="J87" s="65">
        <f>J82*AVERAGE($D$69:$F$69)</f>
        <v>170.5905602554503</v>
      </c>
      <c r="K87" s="65">
        <f>K82*AVERAGE($D$69:$F$69)</f>
        <v>175.3670959426029</v>
      </c>
      <c r="L87" s="65">
        <f>L82*AVERAGE($D$69:$F$69)</f>
        <v>180.97884301276619</v>
      </c>
      <c r="M87" s="65">
        <f>M82*AVERAGE($D$69:$F$69)</f>
        <v>185.50331408808535</v>
      </c>
      <c r="N87" s="65">
        <f>N82*AVERAGE($D$69:$F$69)</f>
        <v>189.58438699802323</v>
      </c>
    </row>
    <row r="88" spans="1:14" ht="57.6" customHeight="1" x14ac:dyDescent="0.3">
      <c r="A88" s="1"/>
      <c r="B88" s="2" t="s">
        <v>107</v>
      </c>
      <c r="C88" s="38"/>
      <c r="D88" s="64" t="s">
        <v>108</v>
      </c>
      <c r="E88" s="64" t="s">
        <v>108</v>
      </c>
      <c r="F88" s="64" t="s">
        <v>108</v>
      </c>
      <c r="G88" s="64"/>
      <c r="H88" s="64"/>
      <c r="I88" s="64"/>
      <c r="J88" s="65">
        <f>G52/G53</f>
        <v>24.75</v>
      </c>
      <c r="K88" s="65">
        <f>G52/G53</f>
        <v>24.75</v>
      </c>
      <c r="L88" s="65">
        <f>G52/G53</f>
        <v>24.75</v>
      </c>
      <c r="M88" s="65">
        <f>G52/G53</f>
        <v>24.75</v>
      </c>
      <c r="N88" s="65">
        <f>G52/G53</f>
        <v>24.75</v>
      </c>
    </row>
    <row r="89" spans="1:14" ht="72" customHeight="1" x14ac:dyDescent="0.3">
      <c r="A89" s="1"/>
      <c r="B89" s="2" t="s">
        <v>109</v>
      </c>
      <c r="C89" s="38"/>
      <c r="D89" s="64" t="s">
        <v>108</v>
      </c>
      <c r="E89" s="64" t="s">
        <v>108</v>
      </c>
      <c r="F89" s="64" t="s">
        <v>108</v>
      </c>
      <c r="G89" s="64"/>
      <c r="H89" s="64"/>
      <c r="I89" s="64"/>
      <c r="J89" s="65">
        <f>G58/G59</f>
        <v>246.10633399999998</v>
      </c>
      <c r="K89" s="65">
        <f>G58/G59</f>
        <v>246.10633399999998</v>
      </c>
      <c r="L89" s="65">
        <f>G58/G59</f>
        <v>246.10633399999998</v>
      </c>
      <c r="M89" s="65">
        <f>G58/G59</f>
        <v>246.10633399999998</v>
      </c>
      <c r="N89" s="65">
        <f>G58/G59</f>
        <v>246.10633399999998</v>
      </c>
    </row>
    <row r="90" spans="1:14" ht="57.6" customHeight="1" x14ac:dyDescent="0.3">
      <c r="A90" s="1"/>
      <c r="B90" s="2" t="s">
        <v>110</v>
      </c>
      <c r="C90" s="38"/>
      <c r="D90" s="64" t="s">
        <v>108</v>
      </c>
      <c r="E90" s="64" t="s">
        <v>108</v>
      </c>
      <c r="F90" s="64" t="s">
        <v>108</v>
      </c>
      <c r="G90" s="64"/>
      <c r="H90" s="64"/>
      <c r="I90" s="64"/>
      <c r="J90" s="65">
        <f>$H$44/5</f>
        <v>11.802513628799996</v>
      </c>
      <c r="K90" s="65">
        <f>$H$44/5</f>
        <v>11.802513628799996</v>
      </c>
      <c r="L90" s="65">
        <f>$H$44/5</f>
        <v>11.802513628799996</v>
      </c>
      <c r="M90" s="65">
        <f>$H$44/5</f>
        <v>11.802513628799996</v>
      </c>
      <c r="N90" s="65">
        <f>$H$44/5</f>
        <v>11.802513628799996</v>
      </c>
    </row>
    <row r="91" spans="1:14" ht="28.8" customHeight="1" x14ac:dyDescent="0.3">
      <c r="A91" s="1"/>
      <c r="B91" s="6" t="s">
        <v>111</v>
      </c>
      <c r="C91" s="38"/>
      <c r="D91" s="36">
        <v>426</v>
      </c>
      <c r="E91" s="36">
        <v>405</v>
      </c>
      <c r="F91" s="36">
        <v>346</v>
      </c>
      <c r="G91" s="64"/>
      <c r="H91" s="64"/>
      <c r="I91" s="64"/>
      <c r="J91" s="67">
        <f>J84-J86-J87-J88-J89-J90</f>
        <v>132.39036394277494</v>
      </c>
      <c r="K91" s="67">
        <f>K84-K86-K87-K88-K89-K90</f>
        <v>144.01174186677966</v>
      </c>
      <c r="L91" s="67">
        <f>L84-L86-L87-L88-L89-L90</f>
        <v>157.66520073063774</v>
      </c>
      <c r="M91" s="67">
        <f>M84-M86-M87-M88-M89-M90</f>
        <v>168.67330193962377</v>
      </c>
      <c r="N91" s="67">
        <f>N84-N86-N87-N88-N89-N90</f>
        <v>178.60260923012916</v>
      </c>
    </row>
    <row r="92" spans="1:14" x14ac:dyDescent="0.3">
      <c r="A92" s="1"/>
      <c r="B92" s="2"/>
      <c r="C92" s="38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</row>
    <row r="93" spans="1:14" ht="43.2" customHeight="1" x14ac:dyDescent="0.3">
      <c r="A93" s="1"/>
      <c r="B93" s="2" t="s">
        <v>112</v>
      </c>
      <c r="C93" s="38"/>
      <c r="D93" s="35">
        <v>-56</v>
      </c>
      <c r="E93" s="35">
        <v>-60</v>
      </c>
      <c r="F93" s="35">
        <v>-65</v>
      </c>
      <c r="G93" s="64"/>
      <c r="H93" s="64"/>
      <c r="I93" s="64"/>
      <c r="J93" s="65">
        <f ca="1">IF($L$8=1,J195,0)</f>
        <v>-183.08845569236689</v>
      </c>
      <c r="K93" s="65">
        <f ca="1">IF($L$8=1,K195,0)</f>
        <v>-164.06699603850669</v>
      </c>
      <c r="L93" s="65">
        <f ca="1">IF($L$8=1,L195,0)</f>
        <v>-154.08912424523686</v>
      </c>
      <c r="M93" s="65">
        <f ca="1">IF($L$8=1,M195,0)</f>
        <v>-152.24526241095666</v>
      </c>
      <c r="N93" s="65">
        <f ca="1">IF($L$8=1,N195,0)</f>
        <v>-142.9627579026187</v>
      </c>
    </row>
    <row r="94" spans="1:14" ht="28.8" customHeight="1" x14ac:dyDescent="0.3">
      <c r="A94" s="1"/>
      <c r="B94" s="6" t="s">
        <v>113</v>
      </c>
      <c r="C94" s="38"/>
      <c r="D94" s="36">
        <v>370</v>
      </c>
      <c r="E94" s="36">
        <v>345</v>
      </c>
      <c r="F94" s="36">
        <v>281</v>
      </c>
      <c r="G94" s="64"/>
      <c r="H94" s="64"/>
      <c r="I94" s="64"/>
      <c r="J94" s="67">
        <f ca="1">J91+J93</f>
        <v>-50.698091749591953</v>
      </c>
      <c r="K94" s="67">
        <f ca="1">K91+K93</f>
        <v>-20.055254171727029</v>
      </c>
      <c r="L94" s="67">
        <f ca="1">L91+L93</f>
        <v>3.5760764854008755</v>
      </c>
      <c r="M94" s="67">
        <f ca="1">M91+M93</f>
        <v>16.428039528667114</v>
      </c>
      <c r="N94" s="67">
        <f ca="1">N91+N93</f>
        <v>35.639851327510456</v>
      </c>
    </row>
    <row r="95" spans="1:14" ht="43.2" customHeight="1" x14ac:dyDescent="0.3">
      <c r="A95" s="1"/>
      <c r="B95" s="2" t="s">
        <v>114</v>
      </c>
      <c r="C95" s="38"/>
      <c r="D95" s="35">
        <v>223</v>
      </c>
      <c r="E95" s="35">
        <v>214</v>
      </c>
      <c r="F95" s="35">
        <v>233</v>
      </c>
      <c r="G95" s="64"/>
      <c r="H95" s="64"/>
      <c r="I95" s="64"/>
      <c r="J95" s="65">
        <f ca="1">J94*J70</f>
        <v>-34.680436132195815</v>
      </c>
      <c r="K95" s="65">
        <f ca="1">K94*K70</f>
        <v>-13.718957408749628</v>
      </c>
      <c r="L95" s="65">
        <f ca="1">L94*L70</f>
        <v>2.4462437909566983</v>
      </c>
      <c r="M95" s="65">
        <f ca="1">M94*M70</f>
        <v>11.237732151047156</v>
      </c>
      <c r="N95" s="65">
        <f ca="1">N94*N70</f>
        <v>24.37972604234416</v>
      </c>
    </row>
    <row r="96" spans="1:14" x14ac:dyDescent="0.3">
      <c r="A96" s="1"/>
      <c r="B96" s="2"/>
      <c r="C96" s="38"/>
      <c r="D96" s="64"/>
      <c r="E96" s="64"/>
      <c r="F96" s="64"/>
      <c r="G96" s="64"/>
      <c r="H96" s="64"/>
      <c r="I96" s="64"/>
      <c r="J96" s="65"/>
      <c r="K96" s="65"/>
      <c r="L96" s="65"/>
      <c r="M96" s="65"/>
      <c r="N96" s="65"/>
    </row>
    <row r="97" spans="1:14" ht="28.8" customHeight="1" x14ac:dyDescent="0.3">
      <c r="A97" s="1"/>
      <c r="B97" s="6" t="s">
        <v>115</v>
      </c>
      <c r="C97" s="38"/>
      <c r="D97" s="36">
        <v>147</v>
      </c>
      <c r="E97" s="36">
        <v>131</v>
      </c>
      <c r="F97" s="36">
        <v>48</v>
      </c>
      <c r="G97" s="64"/>
      <c r="H97" s="64"/>
      <c r="I97" s="64"/>
      <c r="J97" s="67">
        <f ca="1">J94-J95</f>
        <v>-16.017655617396137</v>
      </c>
      <c r="K97" s="67">
        <f ca="1">K94-K95</f>
        <v>-6.3362967629774012</v>
      </c>
      <c r="L97" s="67">
        <f ca="1">L94-L95</f>
        <v>1.1298326944441772</v>
      </c>
      <c r="M97" s="67">
        <f ca="1">M94-M95</f>
        <v>5.1903073776199573</v>
      </c>
      <c r="N97" s="67">
        <f ca="1">N94-N95</f>
        <v>11.260125285166296</v>
      </c>
    </row>
    <row r="98" spans="1:14" x14ac:dyDescent="0.3">
      <c r="A98" s="1"/>
      <c r="B98" s="6" t="s">
        <v>116</v>
      </c>
      <c r="C98" s="38"/>
      <c r="D98" s="36">
        <v>576</v>
      </c>
      <c r="E98" s="36">
        <v>565</v>
      </c>
      <c r="F98" s="36">
        <v>521</v>
      </c>
      <c r="G98" s="64"/>
      <c r="H98" s="64"/>
      <c r="I98" s="64"/>
      <c r="J98" s="67">
        <f>J84-J86</f>
        <v>585.63977182702524</v>
      </c>
      <c r="K98" s="67">
        <f>K84-K86</f>
        <v>602.03768543818251</v>
      </c>
      <c r="L98" s="67">
        <f>L84-L86</f>
        <v>621.30289137220393</v>
      </c>
      <c r="M98" s="67">
        <f>M84-M86</f>
        <v>636.83546365650909</v>
      </c>
      <c r="N98" s="67">
        <f>N84-N86</f>
        <v>650.84584385695234</v>
      </c>
    </row>
    <row r="99" spans="1:14" x14ac:dyDescent="0.3">
      <c r="A99" s="1"/>
      <c r="B99" s="2"/>
      <c r="C99" s="38"/>
      <c r="D99" s="59"/>
      <c r="E99" s="59"/>
      <c r="F99" s="59"/>
      <c r="G99" s="59"/>
      <c r="H99" s="59"/>
      <c r="I99" s="59"/>
      <c r="J99" s="71"/>
      <c r="K99" s="71"/>
      <c r="L99" s="71"/>
      <c r="M99" s="71"/>
      <c r="N99" s="71"/>
    </row>
    <row r="100" spans="1:14" ht="19.95" customHeight="1" x14ac:dyDescent="0.3">
      <c r="A100" s="1"/>
      <c r="B100" s="19" t="s">
        <v>117</v>
      </c>
      <c r="C100" s="37"/>
      <c r="D100" s="60"/>
      <c r="E100" s="60"/>
      <c r="F100" s="60"/>
      <c r="G100" s="60"/>
      <c r="H100" s="60"/>
      <c r="I100" s="60"/>
      <c r="J100" s="72"/>
      <c r="K100" s="72"/>
      <c r="L100" s="72"/>
      <c r="M100" s="72"/>
      <c r="N100" s="72"/>
    </row>
    <row r="101" spans="1:14" ht="14.4" customHeight="1" x14ac:dyDescent="0.3">
      <c r="A101" s="1"/>
      <c r="B101" s="2"/>
      <c r="C101" s="38"/>
      <c r="D101" s="178" t="s">
        <v>86</v>
      </c>
      <c r="E101" s="179"/>
      <c r="F101" s="179"/>
      <c r="G101" s="178" t="s">
        <v>87</v>
      </c>
      <c r="H101" s="179"/>
      <c r="I101" s="179"/>
      <c r="J101" s="180" t="s">
        <v>88</v>
      </c>
      <c r="K101" s="181"/>
      <c r="L101" s="181"/>
      <c r="M101" s="181"/>
      <c r="N101" s="181"/>
    </row>
    <row r="102" spans="1:14" x14ac:dyDescent="0.3">
      <c r="A102" s="1"/>
      <c r="B102" s="2"/>
      <c r="C102" s="38"/>
      <c r="D102" s="56">
        <v>2012</v>
      </c>
      <c r="E102" s="56">
        <v>2013</v>
      </c>
      <c r="F102" s="56">
        <v>2014</v>
      </c>
      <c r="G102" s="56" t="s">
        <v>89</v>
      </c>
      <c r="H102" s="56" t="s">
        <v>90</v>
      </c>
      <c r="I102" s="56">
        <v>2014</v>
      </c>
      <c r="J102" s="56">
        <v>2015</v>
      </c>
      <c r="K102" s="56">
        <v>2016</v>
      </c>
      <c r="L102" s="56">
        <v>2017</v>
      </c>
      <c r="M102" s="56">
        <v>2018</v>
      </c>
      <c r="N102" s="56">
        <v>2019</v>
      </c>
    </row>
    <row r="103" spans="1:14" ht="28.8" customHeight="1" x14ac:dyDescent="0.3">
      <c r="A103" s="1"/>
      <c r="B103" s="20" t="s">
        <v>118</v>
      </c>
      <c r="C103" s="38"/>
      <c r="D103" s="73"/>
      <c r="E103" s="73"/>
      <c r="F103" s="73"/>
      <c r="G103" s="73"/>
      <c r="H103" s="73"/>
      <c r="I103" s="73"/>
      <c r="J103" s="74"/>
      <c r="K103" s="74"/>
      <c r="L103" s="74"/>
      <c r="M103" s="74"/>
      <c r="N103" s="74"/>
    </row>
    <row r="104" spans="1:14" ht="40.799999999999997" customHeight="1" x14ac:dyDescent="0.3">
      <c r="A104" s="1"/>
      <c r="B104" s="2" t="s">
        <v>119</v>
      </c>
      <c r="C104" s="38"/>
      <c r="D104" s="35">
        <v>180</v>
      </c>
      <c r="E104" s="35">
        <v>162</v>
      </c>
      <c r="F104" s="35">
        <v>192</v>
      </c>
      <c r="G104" s="64"/>
      <c r="H104" s="64"/>
      <c r="I104" s="35">
        <f>SUM(F104,G104)-SUM(H104)</f>
        <v>192</v>
      </c>
      <c r="J104" s="65">
        <f>$I$15</f>
        <v>50</v>
      </c>
      <c r="K104" s="65">
        <f>$I$15</f>
        <v>50</v>
      </c>
      <c r="L104" s="65">
        <f>$I$15</f>
        <v>50</v>
      </c>
      <c r="M104" s="65">
        <f>$I$15</f>
        <v>50</v>
      </c>
      <c r="N104" s="65">
        <f>$I$15</f>
        <v>50</v>
      </c>
    </row>
    <row r="105" spans="1:14" ht="40.200000000000003" customHeight="1" x14ac:dyDescent="0.3">
      <c r="A105" s="1"/>
      <c r="B105" s="2" t="s">
        <v>120</v>
      </c>
      <c r="C105" s="38"/>
      <c r="D105" s="35">
        <v>720</v>
      </c>
      <c r="E105" s="35">
        <v>752</v>
      </c>
      <c r="F105" s="35">
        <v>805</v>
      </c>
      <c r="G105" s="64"/>
      <c r="H105" s="64"/>
      <c r="I105" s="35">
        <f>SUM(F105,G105)-SUM(H105)</f>
        <v>805</v>
      </c>
      <c r="J105" s="65">
        <f>J83*J72</f>
        <v>801.14873943761927</v>
      </c>
      <c r="K105" s="65">
        <f>K83*K72</f>
        <v>823.58090414187268</v>
      </c>
      <c r="L105" s="65">
        <f>L83*L72</f>
        <v>849.93549307441265</v>
      </c>
      <c r="M105" s="65">
        <f>M83*M72</f>
        <v>871.18388040127286</v>
      </c>
      <c r="N105" s="65">
        <f>N83*N72</f>
        <v>890.34992577010087</v>
      </c>
    </row>
    <row r="106" spans="1:14" ht="43.2" customHeight="1" x14ac:dyDescent="0.3">
      <c r="A106" s="1"/>
      <c r="B106" s="7" t="s">
        <v>121</v>
      </c>
      <c r="C106" s="75"/>
      <c r="D106" s="35">
        <v>150</v>
      </c>
      <c r="E106" s="35">
        <v>165</v>
      </c>
      <c r="F106" s="35">
        <v>170</v>
      </c>
      <c r="G106" s="64"/>
      <c r="H106" s="64"/>
      <c r="I106" s="35">
        <f>SUM(F106,G106)-SUM(H106)</f>
        <v>170</v>
      </c>
      <c r="J106" s="65">
        <f>J86*J73</f>
        <v>170.58185924138482</v>
      </c>
      <c r="K106" s="65">
        <f>K86*K73</f>
        <v>175.35815130014359</v>
      </c>
      <c r="L106" s="65">
        <f>L86*L73</f>
        <v>180.9696121417482</v>
      </c>
      <c r="M106" s="65">
        <f>M86*M73</f>
        <v>185.49385244529191</v>
      </c>
      <c r="N106" s="65">
        <f>N86*N73</f>
        <v>189.57471719908833</v>
      </c>
    </row>
    <row r="107" spans="1:14" ht="34.200000000000003" customHeight="1" x14ac:dyDescent="0.3">
      <c r="A107" s="1"/>
      <c r="B107" s="6" t="s">
        <v>122</v>
      </c>
      <c r="C107" s="38"/>
      <c r="D107" s="36">
        <v>1050</v>
      </c>
      <c r="E107" s="36">
        <v>1079</v>
      </c>
      <c r="F107" s="36">
        <v>1167</v>
      </c>
      <c r="G107" s="64"/>
      <c r="H107" s="64"/>
      <c r="I107" s="36">
        <f>SUM(I104:I106)</f>
        <v>1167</v>
      </c>
      <c r="J107" s="67">
        <f>J104+J105+J106</f>
        <v>1021.7305986790041</v>
      </c>
      <c r="K107" s="67">
        <f>K104+K105+K106</f>
        <v>1048.9390554420163</v>
      </c>
      <c r="L107" s="67">
        <f>L104+L105+L106</f>
        <v>1080.9051052161608</v>
      </c>
      <c r="M107" s="67">
        <f>M104+M105+M106</f>
        <v>1106.6777328465648</v>
      </c>
      <c r="N107" s="67">
        <f>N104+N105+N106</f>
        <v>1129.9246429691891</v>
      </c>
    </row>
    <row r="108" spans="1:14" x14ac:dyDescent="0.3">
      <c r="A108" s="1"/>
      <c r="B108" s="2"/>
      <c r="C108" s="38"/>
      <c r="D108" s="43"/>
      <c r="E108" s="43"/>
      <c r="F108" s="43"/>
      <c r="G108" s="76"/>
      <c r="H108" s="43"/>
      <c r="I108" s="77"/>
      <c r="J108" s="43"/>
      <c r="K108" s="43"/>
      <c r="L108" s="43"/>
      <c r="M108" s="43"/>
      <c r="N108" s="43"/>
    </row>
    <row r="109" spans="1:14" ht="43.2" customHeight="1" x14ac:dyDescent="0.3">
      <c r="A109" s="1"/>
      <c r="B109" s="20" t="s">
        <v>123</v>
      </c>
      <c r="C109" s="38"/>
      <c r="D109" s="43"/>
      <c r="E109" s="43"/>
      <c r="F109" s="43"/>
      <c r="G109" s="76"/>
      <c r="H109" s="43"/>
      <c r="I109" s="77"/>
      <c r="J109" s="43"/>
      <c r="K109" s="43"/>
      <c r="L109" s="43"/>
      <c r="M109" s="43"/>
      <c r="N109" s="43"/>
    </row>
    <row r="110" spans="1:14" x14ac:dyDescent="0.3">
      <c r="A110" s="1"/>
      <c r="B110" s="2" t="s">
        <v>124</v>
      </c>
      <c r="C110" s="38"/>
      <c r="D110" s="35">
        <v>1720</v>
      </c>
      <c r="E110" s="35">
        <v>1850</v>
      </c>
      <c r="F110" s="35">
        <v>1980</v>
      </c>
      <c r="G110" s="123">
        <f>G52</f>
        <v>198</v>
      </c>
      <c r="H110" s="123"/>
      <c r="I110" s="123">
        <f>SUM(F110,G110)-SUM(H110)</f>
        <v>2178</v>
      </c>
      <c r="J110" s="105">
        <f>I110-J162-J87-J88</f>
        <v>2134.8065097445497</v>
      </c>
      <c r="K110" s="105">
        <f>J110-K162-K87-K88</f>
        <v>2091.0966017619467</v>
      </c>
      <c r="L110" s="105">
        <f>K110-L162-L87-L88</f>
        <v>2046.7799767239007</v>
      </c>
      <c r="M110" s="105">
        <f>L110-M162-M87-M88</f>
        <v>2001.9741860599036</v>
      </c>
      <c r="N110" s="105">
        <f>M110-N162-N87-N88</f>
        <v>1956.727168001298</v>
      </c>
    </row>
    <row r="111" spans="1:14" x14ac:dyDescent="0.3">
      <c r="A111" s="1"/>
      <c r="B111" s="2" t="s">
        <v>125</v>
      </c>
      <c r="C111" s="38"/>
      <c r="D111" s="35">
        <v>1150</v>
      </c>
      <c r="E111" s="35">
        <v>1150</v>
      </c>
      <c r="F111" s="35">
        <v>1150</v>
      </c>
      <c r="G111" s="123">
        <f>C59</f>
        <v>4378.1070353024907</v>
      </c>
      <c r="H111" s="123">
        <f>F111</f>
        <v>1150</v>
      </c>
      <c r="I111" s="123">
        <f>SUM(F111,G111)-SUM(H111)</f>
        <v>4378.1070353024907</v>
      </c>
      <c r="J111" s="105">
        <f>I111</f>
        <v>4378.1070353024907</v>
      </c>
      <c r="K111" s="105">
        <f>I111</f>
        <v>4378.1070353024907</v>
      </c>
      <c r="L111" s="105">
        <f>I111</f>
        <v>4378.1070353024907</v>
      </c>
      <c r="M111" s="105">
        <f>I111</f>
        <v>4378.1070353024907</v>
      </c>
      <c r="N111" s="105">
        <f>I111</f>
        <v>4378.1070353024907</v>
      </c>
    </row>
    <row r="112" spans="1:14" ht="28.8" customHeight="1" x14ac:dyDescent="0.3">
      <c r="A112" s="1"/>
      <c r="B112" s="2" t="s">
        <v>126</v>
      </c>
      <c r="C112" s="38"/>
      <c r="D112" s="35">
        <v>420</v>
      </c>
      <c r="E112" s="35">
        <v>410</v>
      </c>
      <c r="F112" s="35">
        <v>400</v>
      </c>
      <c r="G112" s="123">
        <f>G58</f>
        <v>1230.5316699999998</v>
      </c>
      <c r="H112" s="123"/>
      <c r="I112" s="123">
        <f>SUM(F112,G112)-SUM(H112)</f>
        <v>1630.5316699999998</v>
      </c>
      <c r="J112" s="105">
        <f t="shared" ref="J112:N113" si="12">I112-J89</f>
        <v>1384.4253359999998</v>
      </c>
      <c r="K112" s="105">
        <f t="shared" si="12"/>
        <v>1138.3190019999997</v>
      </c>
      <c r="L112" s="105">
        <f t="shared" si="12"/>
        <v>892.21266799999978</v>
      </c>
      <c r="M112" s="105">
        <f t="shared" si="12"/>
        <v>646.10633399999983</v>
      </c>
      <c r="N112" s="105">
        <f t="shared" si="12"/>
        <v>399.99999999999989</v>
      </c>
    </row>
    <row r="113" spans="1:14" ht="57.6" customHeight="1" x14ac:dyDescent="0.3">
      <c r="A113" s="1"/>
      <c r="B113" s="2" t="s">
        <v>61</v>
      </c>
      <c r="C113" s="38"/>
      <c r="D113" s="35">
        <v>25</v>
      </c>
      <c r="E113" s="35">
        <v>22</v>
      </c>
      <c r="F113" s="35">
        <v>18</v>
      </c>
      <c r="G113" s="123">
        <f>H44</f>
        <v>59.012568143999985</v>
      </c>
      <c r="H113" s="123"/>
      <c r="I113" s="123">
        <f>SUM(F113,G113)-SUM(H113)</f>
        <v>77.012568143999985</v>
      </c>
      <c r="J113" s="105">
        <f t="shared" si="12"/>
        <v>65.210054515199985</v>
      </c>
      <c r="K113" s="105">
        <f t="shared" si="12"/>
        <v>53.407540886399985</v>
      </c>
      <c r="L113" s="105">
        <f t="shared" si="12"/>
        <v>41.605027257599986</v>
      </c>
      <c r="M113" s="105">
        <f t="shared" si="12"/>
        <v>29.802513628799989</v>
      </c>
      <c r="N113" s="105">
        <f t="shared" si="12"/>
        <v>17.999999999999993</v>
      </c>
    </row>
    <row r="114" spans="1:14" ht="28.8" customHeight="1" x14ac:dyDescent="0.3">
      <c r="A114" s="1"/>
      <c r="B114" s="2" t="s">
        <v>127</v>
      </c>
      <c r="C114" s="38"/>
      <c r="D114" s="35">
        <v>90</v>
      </c>
      <c r="E114" s="35">
        <v>95</v>
      </c>
      <c r="F114" s="35">
        <v>100</v>
      </c>
      <c r="G114" s="123"/>
      <c r="H114" s="123"/>
      <c r="I114" s="123">
        <f>SUM(F114,G114)-SUM(H114)</f>
        <v>100</v>
      </c>
      <c r="J114" s="105">
        <f>I114</f>
        <v>100</v>
      </c>
      <c r="K114" s="105">
        <f>I114</f>
        <v>100</v>
      </c>
      <c r="L114" s="105">
        <f>I114</f>
        <v>100</v>
      </c>
      <c r="M114" s="105">
        <f>I114</f>
        <v>100</v>
      </c>
      <c r="N114" s="105">
        <f>I114</f>
        <v>100</v>
      </c>
    </row>
    <row r="115" spans="1:14" ht="57.6" customHeight="1" x14ac:dyDescent="0.3">
      <c r="A115" s="1"/>
      <c r="B115" s="10" t="s">
        <v>128</v>
      </c>
      <c r="C115" s="78"/>
      <c r="D115" s="36">
        <v>3405</v>
      </c>
      <c r="E115" s="36">
        <v>3527</v>
      </c>
      <c r="F115" s="36">
        <v>3648</v>
      </c>
      <c r="G115" s="123"/>
      <c r="H115" s="123"/>
      <c r="I115" s="124">
        <f>SUM(I110:I114)</f>
        <v>8363.6512734464904</v>
      </c>
      <c r="J115" s="108">
        <f>J110+J111+J112+J113+J114</f>
        <v>8062.5489355622403</v>
      </c>
      <c r="K115" s="108">
        <f>K110+K111+K112+K113+K114</f>
        <v>7760.9301799508366</v>
      </c>
      <c r="L115" s="108">
        <f>L110+L111+L112+L113+L114</f>
        <v>7458.7047072839914</v>
      </c>
      <c r="M115" s="108">
        <f>M110+M111+M112+M113+M114</f>
        <v>7155.9900689911938</v>
      </c>
      <c r="N115" s="108">
        <f>N110+N111+N112+N113+N114</f>
        <v>6852.8342033037889</v>
      </c>
    </row>
    <row r="116" spans="1:14" ht="28.8" customHeight="1" x14ac:dyDescent="0.3">
      <c r="A116" s="1"/>
      <c r="B116" s="6" t="s">
        <v>129</v>
      </c>
      <c r="C116" s="38"/>
      <c r="D116" s="36">
        <v>4455</v>
      </c>
      <c r="E116" s="36">
        <v>4606</v>
      </c>
      <c r="F116" s="36">
        <v>4815</v>
      </c>
      <c r="G116" s="123"/>
      <c r="H116" s="123"/>
      <c r="I116" s="124">
        <f t="shared" ref="I116:N116" si="13">I107+I115</f>
        <v>9530.6512734464904</v>
      </c>
      <c r="J116" s="108">
        <f t="shared" si="13"/>
        <v>9084.2795342412446</v>
      </c>
      <c r="K116" s="108">
        <f t="shared" si="13"/>
        <v>8809.8692353928527</v>
      </c>
      <c r="L116" s="108">
        <f t="shared" si="13"/>
        <v>8539.6098125001517</v>
      </c>
      <c r="M116" s="108">
        <f t="shared" si="13"/>
        <v>8262.6678018377588</v>
      </c>
      <c r="N116" s="108">
        <f t="shared" si="13"/>
        <v>7982.7588462729782</v>
      </c>
    </row>
    <row r="117" spans="1:14" x14ac:dyDescent="0.3">
      <c r="A117" s="1"/>
      <c r="B117" s="2"/>
      <c r="C117" s="38"/>
      <c r="D117" s="64"/>
      <c r="E117" s="64"/>
      <c r="F117" s="64"/>
      <c r="G117" s="125"/>
      <c r="H117" s="125"/>
      <c r="I117" s="125"/>
      <c r="J117" s="64"/>
      <c r="K117" s="64"/>
      <c r="L117" s="64"/>
      <c r="M117" s="64"/>
      <c r="N117" s="64"/>
    </row>
    <row r="118" spans="1:14" x14ac:dyDescent="0.3">
      <c r="A118" s="1"/>
      <c r="B118" s="6"/>
      <c r="C118" s="38"/>
      <c r="D118" s="64"/>
      <c r="E118" s="64"/>
      <c r="F118" s="64"/>
      <c r="G118" s="125"/>
      <c r="H118" s="125"/>
      <c r="I118" s="125"/>
      <c r="J118" s="64"/>
      <c r="K118" s="64"/>
      <c r="L118" s="64"/>
      <c r="M118" s="64"/>
      <c r="N118" s="64"/>
    </row>
    <row r="119" spans="1:14" ht="28.8" customHeight="1" x14ac:dyDescent="0.3">
      <c r="A119" s="1"/>
      <c r="B119" s="20" t="s">
        <v>130</v>
      </c>
      <c r="C119" s="38"/>
      <c r="D119" s="64"/>
      <c r="E119" s="64"/>
      <c r="F119" s="64"/>
      <c r="G119" s="125"/>
      <c r="H119" s="125"/>
      <c r="I119" s="125"/>
      <c r="J119" s="64"/>
      <c r="K119" s="64"/>
      <c r="L119" s="64"/>
      <c r="M119" s="64"/>
      <c r="N119" s="64"/>
    </row>
    <row r="120" spans="1:14" x14ac:dyDescent="0.3">
      <c r="A120" s="1"/>
      <c r="B120" s="2" t="s">
        <v>46</v>
      </c>
      <c r="C120" s="38"/>
      <c r="D120" s="35">
        <v>50</v>
      </c>
      <c r="E120" s="35">
        <v>80</v>
      </c>
      <c r="F120" s="35">
        <v>100</v>
      </c>
      <c r="G120" s="125"/>
      <c r="H120" s="125"/>
      <c r="I120" s="125">
        <f>SUM(F120,H120)-SUM(G120)</f>
        <v>100</v>
      </c>
      <c r="J120" s="99">
        <f ca="1">I120+J202-J213</f>
        <v>0</v>
      </c>
      <c r="K120" s="99">
        <f t="shared" ref="K120:N120" ca="1" si="14">J120+K202-K213</f>
        <v>0</v>
      </c>
      <c r="L120" s="99">
        <f t="shared" ca="1" si="14"/>
        <v>0</v>
      </c>
      <c r="M120" s="99">
        <f t="shared" ca="1" si="14"/>
        <v>0</v>
      </c>
      <c r="N120" s="99">
        <f t="shared" ca="1" si="14"/>
        <v>0</v>
      </c>
    </row>
    <row r="121" spans="1:14" ht="28.8" customHeight="1" x14ac:dyDescent="0.3">
      <c r="A121" s="1"/>
      <c r="B121" s="2" t="s">
        <v>131</v>
      </c>
      <c r="C121" s="38"/>
      <c r="D121" s="35">
        <v>650</v>
      </c>
      <c r="E121" s="35">
        <v>690</v>
      </c>
      <c r="F121" s="35">
        <v>720</v>
      </c>
      <c r="G121" s="125"/>
      <c r="H121" s="125"/>
      <c r="I121" s="125">
        <f>SUM(F121,H121)-SUM(G121)</f>
        <v>720</v>
      </c>
      <c r="J121" s="65">
        <f>J83*J74</f>
        <v>724.83895523646083</v>
      </c>
      <c r="K121" s="65">
        <f>K83*K74</f>
        <v>745.13444598308172</v>
      </c>
      <c r="L121" s="65">
        <f>L83*L74</f>
        <v>768.97874825454039</v>
      </c>
      <c r="M121" s="65">
        <f>M83*M74</f>
        <v>788.20321696090389</v>
      </c>
      <c r="N121" s="65">
        <f>N83*N74</f>
        <v>805.54368773404383</v>
      </c>
    </row>
    <row r="122" spans="1:14" ht="43.2" customHeight="1" x14ac:dyDescent="0.3">
      <c r="A122" s="1"/>
      <c r="B122" s="2" t="s">
        <v>132</v>
      </c>
      <c r="C122" s="38"/>
      <c r="D122" s="35">
        <v>430</v>
      </c>
      <c r="E122" s="35">
        <v>460</v>
      </c>
      <c r="F122" s="35">
        <v>500</v>
      </c>
      <c r="G122" s="125"/>
      <c r="H122" s="125"/>
      <c r="I122" s="125">
        <f>SUM(F122,H122)-SUM(G122)</f>
        <v>500</v>
      </c>
      <c r="J122" s="65">
        <f>J86*J75</f>
        <v>488.68254605343481</v>
      </c>
      <c r="K122" s="65">
        <f>K86*K75</f>
        <v>502.365657342931</v>
      </c>
      <c r="L122" s="65">
        <f>L86*L75</f>
        <v>518.44135837790486</v>
      </c>
      <c r="M122" s="65">
        <f>M86*M75</f>
        <v>531.40239233735247</v>
      </c>
      <c r="N122" s="65">
        <f>N86*N75</f>
        <v>543.09324496877423</v>
      </c>
    </row>
    <row r="123" spans="1:14" ht="43.2" customHeight="1" x14ac:dyDescent="0.3">
      <c r="A123" s="1"/>
      <c r="B123" s="11" t="s">
        <v>133</v>
      </c>
      <c r="C123" s="79"/>
      <c r="D123" s="36">
        <v>1130</v>
      </c>
      <c r="E123" s="36">
        <v>1230</v>
      </c>
      <c r="F123" s="36">
        <v>1320</v>
      </c>
      <c r="G123" s="125"/>
      <c r="H123" s="125"/>
      <c r="I123" s="125">
        <f>SUM(I120:I122)</f>
        <v>1320</v>
      </c>
      <c r="J123" s="67">
        <f ca="1">J120+J121+J122</f>
        <v>1213.5215012898957</v>
      </c>
      <c r="K123" s="67">
        <f ca="1">K120+K121+K122</f>
        <v>1247.5001033260128</v>
      </c>
      <c r="L123" s="67">
        <f ca="1">L120+L121+L122</f>
        <v>1287.4201066324454</v>
      </c>
      <c r="M123" s="67">
        <f ca="1">M120+M121+M122</f>
        <v>1319.6056092982562</v>
      </c>
      <c r="N123" s="67">
        <f ca="1">N120+N121+N122</f>
        <v>1348.6369327028181</v>
      </c>
    </row>
    <row r="124" spans="1:14" x14ac:dyDescent="0.3">
      <c r="A124" s="1"/>
      <c r="B124" s="2"/>
      <c r="C124" s="38"/>
      <c r="D124" s="64"/>
      <c r="E124" s="64"/>
      <c r="F124" s="64"/>
      <c r="G124" s="125"/>
      <c r="H124" s="125"/>
      <c r="I124" s="125"/>
      <c r="J124" s="64"/>
      <c r="K124" s="64"/>
      <c r="L124" s="64"/>
      <c r="M124" s="64"/>
      <c r="N124" s="64"/>
    </row>
    <row r="125" spans="1:14" ht="43.2" customHeight="1" x14ac:dyDescent="0.3">
      <c r="A125" s="1"/>
      <c r="B125" s="20" t="s">
        <v>134</v>
      </c>
      <c r="C125" s="38"/>
      <c r="D125" s="64"/>
      <c r="E125" s="64"/>
      <c r="F125" s="64"/>
      <c r="G125" s="125"/>
      <c r="H125" s="125"/>
      <c r="I125" s="125"/>
      <c r="J125" s="64"/>
      <c r="K125" s="64"/>
      <c r="L125" s="64"/>
      <c r="M125" s="64"/>
      <c r="N125" s="64"/>
    </row>
    <row r="126" spans="1:14" ht="57.6" customHeight="1" x14ac:dyDescent="0.3">
      <c r="A126" s="1"/>
      <c r="B126" s="2" t="s">
        <v>135</v>
      </c>
      <c r="C126" s="38"/>
      <c r="D126" s="35">
        <v>1200</v>
      </c>
      <c r="E126" s="35">
        <v>1050</v>
      </c>
      <c r="F126" s="35">
        <v>1150</v>
      </c>
      <c r="G126" s="125">
        <f>F126</f>
        <v>1150</v>
      </c>
      <c r="H126" s="125"/>
      <c r="I126" s="125">
        <f t="shared" ref="I126:I131" si="15">SUM(F126,H126)-SUM(G126)</f>
        <v>0</v>
      </c>
      <c r="J126" s="65">
        <f>I126</f>
        <v>0</v>
      </c>
      <c r="K126" s="65">
        <f t="shared" ref="K126:N126" si="16">J126</f>
        <v>0</v>
      </c>
      <c r="L126" s="65">
        <f t="shared" si="16"/>
        <v>0</v>
      </c>
      <c r="M126" s="65">
        <f t="shared" si="16"/>
        <v>0</v>
      </c>
      <c r="N126" s="65">
        <f t="shared" si="16"/>
        <v>0</v>
      </c>
    </row>
    <row r="127" spans="1:14" ht="43.2" customHeight="1" x14ac:dyDescent="0.3">
      <c r="A127" s="1"/>
      <c r="B127" s="2" t="s">
        <v>49</v>
      </c>
      <c r="C127" s="38"/>
      <c r="D127" s="64" t="s">
        <v>108</v>
      </c>
      <c r="E127" s="64" t="s">
        <v>108</v>
      </c>
      <c r="F127" s="64" t="s">
        <v>108</v>
      </c>
      <c r="G127" s="125"/>
      <c r="H127" s="125">
        <f>D33</f>
        <v>1140.9096507839997</v>
      </c>
      <c r="I127" s="125">
        <f t="shared" si="15"/>
        <v>1140.9096507839997</v>
      </c>
      <c r="J127" s="65">
        <f ca="1">I127-J207-J214</f>
        <v>839.85225892193409</v>
      </c>
      <c r="K127" s="65">
        <f t="shared" ref="K127:N128" ca="1" si="17">J127-K207-K214</f>
        <v>560.61784781608367</v>
      </c>
      <c r="L127" s="65">
        <f t="shared" ca="1" si="17"/>
        <v>272.12678193818533</v>
      </c>
      <c r="M127" s="65">
        <f t="shared" ca="1" si="17"/>
        <v>0</v>
      </c>
      <c r="N127" s="65">
        <f t="shared" ca="1" si="17"/>
        <v>0</v>
      </c>
    </row>
    <row r="128" spans="1:14" ht="28.8" customHeight="1" x14ac:dyDescent="0.3">
      <c r="A128" s="1"/>
      <c r="B128" s="2" t="s">
        <v>50</v>
      </c>
      <c r="C128" s="38"/>
      <c r="D128" s="64" t="s">
        <v>108</v>
      </c>
      <c r="E128" s="64" t="s">
        <v>108</v>
      </c>
      <c r="F128" s="64" t="s">
        <v>108</v>
      </c>
      <c r="G128" s="125"/>
      <c r="H128" s="125">
        <f>D34</f>
        <v>2281.8193015679994</v>
      </c>
      <c r="I128" s="125">
        <f t="shared" si="15"/>
        <v>2281.8193015679994</v>
      </c>
      <c r="J128" s="65">
        <f>I128-I128*$J$34</f>
        <v>2259.0011085523192</v>
      </c>
      <c r="K128" s="65">
        <f ca="1">J128-K208-K215</f>
        <v>2236.182915536639</v>
      </c>
      <c r="L128" s="65">
        <f t="shared" ca="1" si="17"/>
        <v>2213.3647225209588</v>
      </c>
      <c r="M128" s="65">
        <f t="shared" ca="1" si="17"/>
        <v>2171.1736837533194</v>
      </c>
      <c r="N128" s="65">
        <f t="shared" ca="1" si="17"/>
        <v>1850.9732794988104</v>
      </c>
    </row>
    <row r="129" spans="1:14" ht="43.2" customHeight="1" x14ac:dyDescent="0.3">
      <c r="A129" s="1"/>
      <c r="B129" s="2" t="s">
        <v>52</v>
      </c>
      <c r="C129" s="38"/>
      <c r="D129" s="64" t="s">
        <v>108</v>
      </c>
      <c r="E129" s="64" t="s">
        <v>108</v>
      </c>
      <c r="F129" s="64" t="s">
        <v>108</v>
      </c>
      <c r="G129" s="125"/>
      <c r="H129" s="125">
        <f>D35</f>
        <v>236.05027257599994</v>
      </c>
      <c r="I129" s="125">
        <f t="shared" si="15"/>
        <v>236.05027257599994</v>
      </c>
      <c r="J129" s="65">
        <f>$I$129</f>
        <v>236.05027257599994</v>
      </c>
      <c r="K129" s="65">
        <f>$I$129</f>
        <v>236.05027257599994</v>
      </c>
      <c r="L129" s="65">
        <f>$I$129</f>
        <v>236.05027257599994</v>
      </c>
      <c r="M129" s="65">
        <f>$I$129</f>
        <v>236.05027257599994</v>
      </c>
      <c r="N129" s="65">
        <f>$I$129</f>
        <v>236.05027257599994</v>
      </c>
    </row>
    <row r="130" spans="1:14" ht="72" customHeight="1" x14ac:dyDescent="0.3">
      <c r="A130" s="1"/>
      <c r="B130" s="2" t="s">
        <v>137</v>
      </c>
      <c r="C130" s="38"/>
      <c r="D130" s="35">
        <v>250</v>
      </c>
      <c r="E130" s="35">
        <v>270</v>
      </c>
      <c r="F130" s="35">
        <v>300</v>
      </c>
      <c r="G130" s="125">
        <f>F130</f>
        <v>300</v>
      </c>
      <c r="H130" s="125">
        <f>C58</f>
        <v>1184.5120253024909</v>
      </c>
      <c r="I130" s="125">
        <f t="shared" si="15"/>
        <v>1184.5120253024909</v>
      </c>
      <c r="J130" s="65">
        <f>I130</f>
        <v>1184.5120253024909</v>
      </c>
      <c r="K130" s="65">
        <f>I130</f>
        <v>1184.5120253024909</v>
      </c>
      <c r="L130" s="65">
        <f>I130</f>
        <v>1184.5120253024909</v>
      </c>
      <c r="M130" s="65">
        <f>I130</f>
        <v>1184.5120253024909</v>
      </c>
      <c r="N130" s="65">
        <f>I130</f>
        <v>1184.5120253024909</v>
      </c>
    </row>
    <row r="131" spans="1:14" ht="57.6" customHeight="1" x14ac:dyDescent="0.3">
      <c r="A131" s="1"/>
      <c r="B131" s="7" t="s">
        <v>138</v>
      </c>
      <c r="C131" s="75"/>
      <c r="D131" s="35">
        <v>235</v>
      </c>
      <c r="E131" s="35">
        <v>360</v>
      </c>
      <c r="F131" s="35">
        <v>353</v>
      </c>
      <c r="G131" s="125"/>
      <c r="H131" s="125"/>
      <c r="I131" s="125">
        <f t="shared" si="15"/>
        <v>353</v>
      </c>
      <c r="J131" s="65">
        <f>I131</f>
        <v>353</v>
      </c>
      <c r="K131" s="65">
        <f>I131</f>
        <v>353</v>
      </c>
      <c r="L131" s="65">
        <f>I131</f>
        <v>353</v>
      </c>
      <c r="M131" s="65">
        <f>I131</f>
        <v>353</v>
      </c>
      <c r="N131" s="65">
        <f>I131</f>
        <v>353</v>
      </c>
    </row>
    <row r="132" spans="1:14" ht="57.6" customHeight="1" x14ac:dyDescent="0.3">
      <c r="A132" s="1"/>
      <c r="B132" s="5" t="s">
        <v>139</v>
      </c>
      <c r="C132" s="75"/>
      <c r="D132" s="36">
        <v>1685</v>
      </c>
      <c r="E132" s="36">
        <v>1680</v>
      </c>
      <c r="F132" s="36">
        <v>1803</v>
      </c>
      <c r="G132" s="125"/>
      <c r="H132" s="125"/>
      <c r="I132" s="126">
        <f>SUM(I126:I131)</f>
        <v>5196.2912502304898</v>
      </c>
      <c r="J132" s="67">
        <f ca="1">J126+J127+J128+J129+J130+J131</f>
        <v>4872.4156653527443</v>
      </c>
      <c r="K132" s="67">
        <f ca="1">K126+K127+K128+K129+K130+K131</f>
        <v>4570.3630612312136</v>
      </c>
      <c r="L132" s="67">
        <f ca="1">L126+L127+L128+L129+L130+L131</f>
        <v>4259.0538023376348</v>
      </c>
      <c r="M132" s="67">
        <f ca="1">M126+M127+M128+M129+M130+M131</f>
        <v>3944.7359816318103</v>
      </c>
      <c r="N132" s="67">
        <f ca="1">N126+N127+N128+N129+N130+N131</f>
        <v>3624.5355773773008</v>
      </c>
    </row>
    <row r="133" spans="1:14" ht="28.8" customHeight="1" x14ac:dyDescent="0.3">
      <c r="A133" s="1"/>
      <c r="B133" s="6" t="s">
        <v>140</v>
      </c>
      <c r="C133" s="38"/>
      <c r="D133" s="36">
        <v>2815</v>
      </c>
      <c r="E133" s="36">
        <v>2910</v>
      </c>
      <c r="F133" s="36">
        <v>3123</v>
      </c>
      <c r="G133" s="125"/>
      <c r="H133" s="125"/>
      <c r="I133" s="126">
        <f t="shared" ref="I133:N133" si="18">I123+I132</f>
        <v>6516.2912502304898</v>
      </c>
      <c r="J133" s="67">
        <f t="shared" ca="1" si="18"/>
        <v>6085.9371666426396</v>
      </c>
      <c r="K133" s="67">
        <f t="shared" ca="1" si="18"/>
        <v>5817.8631645572259</v>
      </c>
      <c r="L133" s="67">
        <f t="shared" ca="1" si="18"/>
        <v>5546.4739089700797</v>
      </c>
      <c r="M133" s="67">
        <f t="shared" ca="1" si="18"/>
        <v>5264.3415909300666</v>
      </c>
      <c r="N133" s="67">
        <f t="shared" ca="1" si="18"/>
        <v>4973.1725100801186</v>
      </c>
    </row>
    <row r="134" spans="1:14" x14ac:dyDescent="0.3">
      <c r="A134" s="1"/>
      <c r="B134" s="2"/>
      <c r="C134" s="38"/>
      <c r="D134" s="43"/>
      <c r="E134" s="43"/>
      <c r="F134" s="43"/>
      <c r="G134" s="127"/>
      <c r="H134" s="128"/>
      <c r="I134" s="128"/>
      <c r="J134" s="113"/>
      <c r="K134" s="114"/>
      <c r="L134" s="114"/>
      <c r="M134" s="114"/>
      <c r="N134" s="114"/>
    </row>
    <row r="135" spans="1:14" ht="43.2" customHeight="1" x14ac:dyDescent="0.3">
      <c r="A135" s="1"/>
      <c r="B135" s="20" t="s">
        <v>141</v>
      </c>
      <c r="C135" s="38"/>
      <c r="D135" s="43"/>
      <c r="E135" s="43"/>
      <c r="F135" s="43"/>
      <c r="G135" s="129"/>
      <c r="H135" s="128"/>
      <c r="I135" s="130"/>
      <c r="J135" s="114"/>
      <c r="K135" s="114"/>
      <c r="L135" s="114"/>
      <c r="M135" s="114"/>
      <c r="N135" s="114"/>
    </row>
    <row r="136" spans="1:14" ht="42.6" customHeight="1" x14ac:dyDescent="0.3">
      <c r="A136" s="1"/>
      <c r="B136" s="2" t="s">
        <v>142</v>
      </c>
      <c r="C136" s="38"/>
      <c r="D136" s="35">
        <v>10</v>
      </c>
      <c r="E136" s="35">
        <v>5</v>
      </c>
      <c r="F136" s="35">
        <v>5</v>
      </c>
      <c r="G136" s="125">
        <f>F136</f>
        <v>5</v>
      </c>
      <c r="H136" s="125"/>
      <c r="I136" s="125">
        <f>SUM(F136,H136)-SUM(G136)</f>
        <v>0</v>
      </c>
      <c r="J136" s="65">
        <f>I136</f>
        <v>0</v>
      </c>
      <c r="K136" s="65">
        <f t="shared" ref="K136:N136" si="19">J136</f>
        <v>0</v>
      </c>
      <c r="L136" s="65">
        <f t="shared" si="19"/>
        <v>0</v>
      </c>
      <c r="M136" s="65">
        <f t="shared" si="19"/>
        <v>0</v>
      </c>
      <c r="N136" s="65">
        <f t="shared" si="19"/>
        <v>0</v>
      </c>
    </row>
    <row r="137" spans="1:14" ht="43.2" customHeight="1" x14ac:dyDescent="0.3">
      <c r="A137" s="1"/>
      <c r="B137" s="2" t="s">
        <v>143</v>
      </c>
      <c r="C137" s="38"/>
      <c r="D137" s="35">
        <v>640</v>
      </c>
      <c r="E137" s="35">
        <v>657</v>
      </c>
      <c r="F137" s="35">
        <v>675</v>
      </c>
      <c r="G137" s="125">
        <f>F137</f>
        <v>675</v>
      </c>
      <c r="H137" s="125"/>
      <c r="I137" s="125">
        <f>SUM(F137,H137)-SUM(G137)</f>
        <v>0</v>
      </c>
      <c r="J137" s="65">
        <f>I137</f>
        <v>0</v>
      </c>
      <c r="K137" s="65">
        <f t="shared" ref="K137:N137" si="20">J137</f>
        <v>0</v>
      </c>
      <c r="L137" s="65">
        <f t="shared" si="20"/>
        <v>0</v>
      </c>
      <c r="M137" s="65">
        <f t="shared" si="20"/>
        <v>0</v>
      </c>
      <c r="N137" s="65">
        <f t="shared" si="20"/>
        <v>0</v>
      </c>
    </row>
    <row r="138" spans="1:14" ht="28.8" customHeight="1" x14ac:dyDescent="0.3">
      <c r="A138" s="1"/>
      <c r="B138" s="2" t="s">
        <v>144</v>
      </c>
      <c r="C138" s="38"/>
      <c r="D138" s="35">
        <v>-350</v>
      </c>
      <c r="E138" s="35">
        <v>-380</v>
      </c>
      <c r="F138" s="35">
        <v>-450</v>
      </c>
      <c r="G138" s="125">
        <f>F138</f>
        <v>-450</v>
      </c>
      <c r="H138" s="125"/>
      <c r="I138" s="125">
        <f>SUM(F138,H138)-SUM(G138)</f>
        <v>0</v>
      </c>
      <c r="J138" s="65">
        <f>I138</f>
        <v>0</v>
      </c>
      <c r="K138" s="65">
        <f t="shared" ref="K138:N138" si="21">J138</f>
        <v>0</v>
      </c>
      <c r="L138" s="65">
        <f t="shared" si="21"/>
        <v>0</v>
      </c>
      <c r="M138" s="65">
        <f t="shared" si="21"/>
        <v>0</v>
      </c>
      <c r="N138" s="65">
        <f t="shared" si="21"/>
        <v>0</v>
      </c>
    </row>
    <row r="139" spans="1:14" ht="43.2" customHeight="1" x14ac:dyDescent="0.3">
      <c r="A139" s="1"/>
      <c r="B139" s="2" t="s">
        <v>145</v>
      </c>
      <c r="C139" s="38"/>
      <c r="D139" s="64" t="s">
        <v>108</v>
      </c>
      <c r="E139" s="64" t="s">
        <v>108</v>
      </c>
      <c r="F139" s="64" t="s">
        <v>108</v>
      </c>
      <c r="G139" s="125">
        <v>0</v>
      </c>
      <c r="H139" s="125">
        <f>C44</f>
        <v>3045.7524032560009</v>
      </c>
      <c r="I139" s="125">
        <f>SUM(F139,H139)-SUM(G139)</f>
        <v>3045.7524032560009</v>
      </c>
      <c r="J139" s="65">
        <f>I139</f>
        <v>3045.7524032560009</v>
      </c>
      <c r="K139" s="65">
        <f>I139</f>
        <v>3045.7524032560009</v>
      </c>
      <c r="L139" s="65">
        <f>I139</f>
        <v>3045.7524032560009</v>
      </c>
      <c r="M139" s="65">
        <f>I139</f>
        <v>3045.7524032560009</v>
      </c>
      <c r="N139" s="65">
        <f>I139</f>
        <v>3045.7524032560009</v>
      </c>
    </row>
    <row r="140" spans="1:14" ht="28.8" customHeight="1" x14ac:dyDescent="0.3">
      <c r="A140" s="1"/>
      <c r="B140" s="7" t="s">
        <v>146</v>
      </c>
      <c r="C140" s="75"/>
      <c r="D140" s="35">
        <v>1340</v>
      </c>
      <c r="E140" s="35">
        <v>1414</v>
      </c>
      <c r="F140" s="35">
        <v>1462</v>
      </c>
      <c r="G140" s="125">
        <f>F140+H43+H45</f>
        <v>1493.39238004</v>
      </c>
      <c r="H140" s="125"/>
      <c r="I140" s="125">
        <f>SUM(F140,H140)-SUM(G140)</f>
        <v>-31.392380040000035</v>
      </c>
      <c r="J140" s="65">
        <f ca="1">I140+J97</f>
        <v>-47.410035657396172</v>
      </c>
      <c r="K140" s="65">
        <f ca="1">J140+K97</f>
        <v>-53.746332420373577</v>
      </c>
      <c r="L140" s="65">
        <f ca="1">K140+L97</f>
        <v>-52.616499725929401</v>
      </c>
      <c r="M140" s="65">
        <f ca="1">L140+M97</f>
        <v>-47.426192348309442</v>
      </c>
      <c r="N140" s="65">
        <f ca="1">M140+N97</f>
        <v>-36.166067063143146</v>
      </c>
    </row>
    <row r="141" spans="1:14" ht="57.6" customHeight="1" x14ac:dyDescent="0.3">
      <c r="A141" s="1"/>
      <c r="B141" s="6" t="s">
        <v>147</v>
      </c>
      <c r="C141" s="38"/>
      <c r="D141" s="36">
        <v>1640</v>
      </c>
      <c r="E141" s="36">
        <v>1696</v>
      </c>
      <c r="F141" s="36">
        <v>1692</v>
      </c>
      <c r="G141" s="125"/>
      <c r="H141" s="125"/>
      <c r="I141" s="126">
        <f>SUM(I136:I140)</f>
        <v>3014.3600232160006</v>
      </c>
      <c r="J141" s="67">
        <f ca="1">J136+J137+J138+J139+J140</f>
        <v>2998.3423675986046</v>
      </c>
      <c r="K141" s="67">
        <f ca="1">K136+K137+K138+K139+K140</f>
        <v>2992.0060708356273</v>
      </c>
      <c r="L141" s="67">
        <f ca="1">L136+L137+L138+L139+L140</f>
        <v>2993.1359035300716</v>
      </c>
      <c r="M141" s="67">
        <f ca="1">M136+M137+M138+M139+M140</f>
        <v>2998.3262109076913</v>
      </c>
      <c r="N141" s="67">
        <f ca="1">N136+N137+N138+N139+N140</f>
        <v>3009.5863361928577</v>
      </c>
    </row>
    <row r="142" spans="1:14" x14ac:dyDescent="0.3">
      <c r="A142" s="1"/>
      <c r="B142" s="2"/>
      <c r="C142" s="38"/>
      <c r="D142" s="64"/>
      <c r="E142" s="64"/>
      <c r="F142" s="64"/>
      <c r="G142" s="125"/>
      <c r="H142" s="125"/>
      <c r="I142" s="125"/>
      <c r="J142" s="65"/>
      <c r="K142" s="65"/>
      <c r="L142" s="65"/>
      <c r="M142" s="65"/>
      <c r="N142" s="65"/>
    </row>
    <row r="143" spans="1:14" ht="43.2" customHeight="1" x14ac:dyDescent="0.3">
      <c r="A143" s="1"/>
      <c r="B143" s="6" t="s">
        <v>148</v>
      </c>
      <c r="C143" s="38"/>
      <c r="D143" s="36">
        <v>4455</v>
      </c>
      <c r="E143" s="36">
        <v>4606</v>
      </c>
      <c r="F143" s="36">
        <v>4815</v>
      </c>
      <c r="G143" s="126"/>
      <c r="H143" s="126"/>
      <c r="I143" s="126">
        <f t="shared" ref="I143:N143" si="22">I133+I141</f>
        <v>9530.6512734464904</v>
      </c>
      <c r="J143" s="67">
        <f t="shared" ca="1" si="22"/>
        <v>9084.2795342412446</v>
      </c>
      <c r="K143" s="67">
        <f t="shared" ca="1" si="22"/>
        <v>8809.8692353928527</v>
      </c>
      <c r="L143" s="67">
        <f t="shared" ca="1" si="22"/>
        <v>8539.6098125001517</v>
      </c>
      <c r="M143" s="67">
        <f t="shared" ca="1" si="22"/>
        <v>8262.667801837757</v>
      </c>
      <c r="N143" s="67">
        <f t="shared" ca="1" si="22"/>
        <v>7982.7588462729764</v>
      </c>
    </row>
    <row r="144" spans="1:14" x14ac:dyDescent="0.3">
      <c r="A144" s="1"/>
      <c r="B144" s="2"/>
      <c r="C144" s="38"/>
      <c r="D144" s="64"/>
      <c r="E144" s="64"/>
      <c r="F144" s="64"/>
      <c r="G144" s="64"/>
      <c r="H144" s="64"/>
      <c r="I144" s="64"/>
      <c r="J144" s="65"/>
      <c r="K144" s="65"/>
      <c r="L144" s="65"/>
      <c r="M144" s="65"/>
      <c r="N144" s="65"/>
    </row>
    <row r="145" spans="1:14" ht="28.8" customHeight="1" x14ac:dyDescent="0.3">
      <c r="A145" s="1"/>
      <c r="B145" s="12" t="s">
        <v>149</v>
      </c>
      <c r="C145" s="38"/>
      <c r="D145" s="100">
        <f>D116-D143</f>
        <v>0</v>
      </c>
      <c r="E145" s="100">
        <f>E116-E143</f>
        <v>0</v>
      </c>
      <c r="F145" s="100">
        <f>F116-F143</f>
        <v>0</v>
      </c>
      <c r="G145" s="81"/>
      <c r="H145" s="81"/>
      <c r="I145" s="81">
        <f t="shared" ref="I145:N145" si="23">I116-I143</f>
        <v>0</v>
      </c>
      <c r="J145" s="115">
        <f t="shared" ca="1" si="23"/>
        <v>0</v>
      </c>
      <c r="K145" s="115">
        <f t="shared" ca="1" si="23"/>
        <v>0</v>
      </c>
      <c r="L145" s="115">
        <f t="shared" ca="1" si="23"/>
        <v>0</v>
      </c>
      <c r="M145" s="115">
        <f t="shared" ca="1" si="23"/>
        <v>0</v>
      </c>
      <c r="N145" s="115">
        <f t="shared" ca="1" si="23"/>
        <v>0</v>
      </c>
    </row>
    <row r="146" spans="1:14" x14ac:dyDescent="0.3">
      <c r="A146" s="1"/>
      <c r="B146" s="2"/>
      <c r="C146" s="38"/>
      <c r="D146" s="38"/>
      <c r="E146" s="38"/>
      <c r="F146" s="38"/>
      <c r="G146" s="38"/>
      <c r="H146" s="38"/>
      <c r="I146" s="38"/>
      <c r="J146" s="116"/>
      <c r="K146" s="116"/>
      <c r="L146" s="116"/>
      <c r="M146" s="116"/>
      <c r="N146" s="116"/>
    </row>
    <row r="147" spans="1:14" ht="19.95" customHeight="1" x14ac:dyDescent="0.3">
      <c r="A147" s="1"/>
      <c r="B147" s="19" t="s">
        <v>150</v>
      </c>
      <c r="C147" s="37"/>
      <c r="D147" s="37"/>
      <c r="E147" s="37"/>
      <c r="F147" s="37"/>
      <c r="G147" s="37"/>
      <c r="H147" s="37"/>
      <c r="I147" s="37"/>
      <c r="J147" s="117"/>
      <c r="K147" s="117"/>
      <c r="L147" s="117"/>
      <c r="M147" s="117"/>
      <c r="N147" s="117"/>
    </row>
    <row r="148" spans="1:14" ht="14.4" customHeight="1" x14ac:dyDescent="0.3">
      <c r="A148" s="1"/>
      <c r="B148" s="2"/>
      <c r="C148" s="38"/>
      <c r="D148" s="178" t="s">
        <v>86</v>
      </c>
      <c r="E148" s="179"/>
      <c r="F148" s="179"/>
      <c r="G148" s="178" t="s">
        <v>2</v>
      </c>
      <c r="H148" s="179"/>
      <c r="I148" s="179"/>
      <c r="J148" s="182" t="s">
        <v>88</v>
      </c>
      <c r="K148" s="183"/>
      <c r="L148" s="183"/>
      <c r="M148" s="183"/>
      <c r="N148" s="183"/>
    </row>
    <row r="149" spans="1:14" x14ac:dyDescent="0.3">
      <c r="A149" s="1"/>
      <c r="B149" s="2"/>
      <c r="C149" s="38"/>
      <c r="D149" s="56">
        <v>2012</v>
      </c>
      <c r="E149" s="56">
        <v>2013</v>
      </c>
      <c r="F149" s="56">
        <v>2014</v>
      </c>
      <c r="G149" s="56" t="s">
        <v>89</v>
      </c>
      <c r="H149" s="56" t="s">
        <v>90</v>
      </c>
      <c r="I149" s="56">
        <v>2014</v>
      </c>
      <c r="J149" s="118">
        <v>2015</v>
      </c>
      <c r="K149" s="118">
        <v>2016</v>
      </c>
      <c r="L149" s="118">
        <v>2017</v>
      </c>
      <c r="M149" s="118">
        <v>2018</v>
      </c>
      <c r="N149" s="118">
        <v>2019</v>
      </c>
    </row>
    <row r="150" spans="1:14" ht="28.8" customHeight="1" x14ac:dyDescent="0.3">
      <c r="A150" s="1"/>
      <c r="B150" s="13" t="s">
        <v>115</v>
      </c>
      <c r="C150" s="38"/>
      <c r="D150" s="62"/>
      <c r="E150" s="62"/>
      <c r="F150" s="62"/>
      <c r="G150" s="62"/>
      <c r="H150" s="62"/>
      <c r="I150" s="62"/>
      <c r="J150" s="63">
        <f ca="1">J97</f>
        <v>-16.017655617396137</v>
      </c>
      <c r="K150" s="63">
        <f ca="1">K97</f>
        <v>-6.3362967629774012</v>
      </c>
      <c r="L150" s="63">
        <f ca="1">L97</f>
        <v>1.1298326944441772</v>
      </c>
      <c r="M150" s="63">
        <f ca="1">M97</f>
        <v>5.1903073776199573</v>
      </c>
      <c r="N150" s="63">
        <f ca="1">N97</f>
        <v>11.260125285166296</v>
      </c>
    </row>
    <row r="151" spans="1:14" ht="57.6" customHeight="1" x14ac:dyDescent="0.3">
      <c r="A151" s="1"/>
      <c r="B151" s="8" t="s">
        <v>151</v>
      </c>
      <c r="C151" s="38"/>
      <c r="D151" s="64"/>
      <c r="E151" s="64"/>
      <c r="F151" s="64"/>
      <c r="G151" s="64"/>
      <c r="H151" s="64"/>
      <c r="I151" s="64"/>
      <c r="J151" s="65">
        <f t="shared" ref="J151:N154" si="24">J87</f>
        <v>170.5905602554503</v>
      </c>
      <c r="K151" s="65">
        <f t="shared" si="24"/>
        <v>175.3670959426029</v>
      </c>
      <c r="L151" s="65">
        <f t="shared" si="24"/>
        <v>180.97884301276619</v>
      </c>
      <c r="M151" s="65">
        <f t="shared" si="24"/>
        <v>185.50331408808535</v>
      </c>
      <c r="N151" s="65">
        <f t="shared" si="24"/>
        <v>189.58438699802323</v>
      </c>
    </row>
    <row r="152" spans="1:14" ht="49.8" customHeight="1" x14ac:dyDescent="0.3">
      <c r="A152" s="1"/>
      <c r="B152" s="8" t="s">
        <v>152</v>
      </c>
      <c r="C152" s="38"/>
      <c r="D152" s="64"/>
      <c r="E152" s="64"/>
      <c r="F152" s="64"/>
      <c r="G152" s="64"/>
      <c r="H152" s="64"/>
      <c r="I152" s="64"/>
      <c r="J152" s="65">
        <f t="shared" si="24"/>
        <v>24.75</v>
      </c>
      <c r="K152" s="65">
        <f t="shared" si="24"/>
        <v>24.75</v>
      </c>
      <c r="L152" s="65">
        <f t="shared" si="24"/>
        <v>24.75</v>
      </c>
      <c r="M152" s="65">
        <f t="shared" si="24"/>
        <v>24.75</v>
      </c>
      <c r="N152" s="65">
        <f t="shared" si="24"/>
        <v>24.75</v>
      </c>
    </row>
    <row r="153" spans="1:14" ht="46.2" customHeight="1" x14ac:dyDescent="0.3">
      <c r="A153" s="1"/>
      <c r="B153" s="8" t="s">
        <v>153</v>
      </c>
      <c r="C153" s="38"/>
      <c r="D153" s="64"/>
      <c r="E153" s="64"/>
      <c r="F153" s="64"/>
      <c r="G153" s="64"/>
      <c r="H153" s="64"/>
      <c r="I153" s="64"/>
      <c r="J153" s="65">
        <f t="shared" si="24"/>
        <v>246.10633399999998</v>
      </c>
      <c r="K153" s="65">
        <f t="shared" si="24"/>
        <v>246.10633399999998</v>
      </c>
      <c r="L153" s="65">
        <f t="shared" si="24"/>
        <v>246.10633399999998</v>
      </c>
      <c r="M153" s="65">
        <f t="shared" si="24"/>
        <v>246.10633399999998</v>
      </c>
      <c r="N153" s="65">
        <f t="shared" si="24"/>
        <v>246.10633399999998</v>
      </c>
    </row>
    <row r="154" spans="1:14" x14ac:dyDescent="0.3">
      <c r="A154" s="1"/>
      <c r="B154" s="8" t="s">
        <v>154</v>
      </c>
      <c r="C154" s="38"/>
      <c r="D154" s="64"/>
      <c r="E154" s="64"/>
      <c r="F154" s="64"/>
      <c r="G154" s="64"/>
      <c r="H154" s="64"/>
      <c r="I154" s="64"/>
      <c r="J154" s="65">
        <f t="shared" si="24"/>
        <v>11.802513628799996</v>
      </c>
      <c r="K154" s="65">
        <f t="shared" si="24"/>
        <v>11.802513628799996</v>
      </c>
      <c r="L154" s="65">
        <f t="shared" si="24"/>
        <v>11.802513628799996</v>
      </c>
      <c r="M154" s="65">
        <f t="shared" si="24"/>
        <v>11.802513628799996</v>
      </c>
      <c r="N154" s="65">
        <f t="shared" si="24"/>
        <v>11.802513628799996</v>
      </c>
    </row>
    <row r="155" spans="1:14" ht="49.8" customHeight="1" x14ac:dyDescent="0.3">
      <c r="A155" s="1"/>
      <c r="B155" s="20" t="s">
        <v>155</v>
      </c>
      <c r="C155" s="38"/>
      <c r="D155" s="64"/>
      <c r="E155" s="64"/>
      <c r="F155" s="64"/>
      <c r="G155" s="64"/>
      <c r="H155" s="64"/>
      <c r="I155" s="64"/>
      <c r="J155" s="65"/>
      <c r="K155" s="65"/>
      <c r="L155" s="65"/>
      <c r="M155" s="65"/>
      <c r="N155" s="65"/>
    </row>
    <row r="156" spans="1:14" x14ac:dyDescent="0.3">
      <c r="A156" s="1"/>
      <c r="B156" s="8" t="s">
        <v>120</v>
      </c>
      <c r="C156" s="38"/>
      <c r="D156" s="64"/>
      <c r="E156" s="64"/>
      <c r="F156" s="64"/>
      <c r="G156" s="64"/>
      <c r="H156" s="64"/>
      <c r="I156" s="64"/>
      <c r="J156" s="65">
        <f t="shared" ref="J156:N157" si="25">-(J105-I105)</f>
        <v>3.8512605623807303</v>
      </c>
      <c r="K156" s="65">
        <f t="shared" si="25"/>
        <v>-22.43216470425341</v>
      </c>
      <c r="L156" s="65">
        <f t="shared" si="25"/>
        <v>-26.354588932539968</v>
      </c>
      <c r="M156" s="65">
        <f t="shared" si="25"/>
        <v>-21.248387326860211</v>
      </c>
      <c r="N156" s="65">
        <f t="shared" si="25"/>
        <v>-19.166045368828009</v>
      </c>
    </row>
    <row r="157" spans="1:14" x14ac:dyDescent="0.3">
      <c r="A157" s="1"/>
      <c r="B157" s="8" t="s">
        <v>121</v>
      </c>
      <c r="C157" s="38"/>
      <c r="D157" s="64"/>
      <c r="E157" s="64"/>
      <c r="F157" s="64"/>
      <c r="G157" s="64"/>
      <c r="H157" s="64"/>
      <c r="I157" s="64"/>
      <c r="J157" s="65">
        <f t="shared" si="25"/>
        <v>-0.58185924138481937</v>
      </c>
      <c r="K157" s="65">
        <f t="shared" si="25"/>
        <v>-4.7762920587587701</v>
      </c>
      <c r="L157" s="65">
        <f t="shared" si="25"/>
        <v>-5.611460841604611</v>
      </c>
      <c r="M157" s="65">
        <f t="shared" si="25"/>
        <v>-4.5242403035437064</v>
      </c>
      <c r="N157" s="65">
        <f t="shared" si="25"/>
        <v>-4.0808647537964191</v>
      </c>
    </row>
    <row r="158" spans="1:14" x14ac:dyDescent="0.3">
      <c r="A158" s="1"/>
      <c r="B158" s="8" t="s">
        <v>156</v>
      </c>
      <c r="C158" s="38"/>
      <c r="D158" s="64"/>
      <c r="E158" s="64"/>
      <c r="F158" s="64"/>
      <c r="G158" s="64"/>
      <c r="H158" s="64"/>
      <c r="I158" s="64"/>
      <c r="J158" s="65">
        <f t="shared" ref="J158:N159" si="26">J121-I121</f>
        <v>4.8389552364608335</v>
      </c>
      <c r="K158" s="65">
        <f t="shared" si="26"/>
        <v>20.295490746620885</v>
      </c>
      <c r="L158" s="65">
        <f t="shared" si="26"/>
        <v>23.844302271458673</v>
      </c>
      <c r="M158" s="65">
        <f t="shared" si="26"/>
        <v>19.224468706363496</v>
      </c>
      <c r="N158" s="65">
        <f t="shared" si="26"/>
        <v>17.340470773139941</v>
      </c>
    </row>
    <row r="159" spans="1:14" x14ac:dyDescent="0.3">
      <c r="A159" s="1"/>
      <c r="B159" s="14" t="s">
        <v>132</v>
      </c>
      <c r="C159" s="75"/>
      <c r="D159" s="64"/>
      <c r="E159" s="64"/>
      <c r="F159" s="64"/>
      <c r="G159" s="64"/>
      <c r="H159" s="64"/>
      <c r="I159" s="64"/>
      <c r="J159" s="65">
        <f t="shared" si="26"/>
        <v>-11.317453946565195</v>
      </c>
      <c r="K159" s="65">
        <f t="shared" si="26"/>
        <v>13.683111289496196</v>
      </c>
      <c r="L159" s="65">
        <f t="shared" si="26"/>
        <v>16.075701034973861</v>
      </c>
      <c r="M159" s="65">
        <f t="shared" si="26"/>
        <v>12.961033959447605</v>
      </c>
      <c r="N159" s="65">
        <f t="shared" si="26"/>
        <v>11.690852631421762</v>
      </c>
    </row>
    <row r="160" spans="1:14" ht="50.4" customHeight="1" x14ac:dyDescent="0.3">
      <c r="A160" s="1"/>
      <c r="B160" s="13" t="s">
        <v>157</v>
      </c>
      <c r="C160" s="38"/>
      <c r="D160" s="64"/>
      <c r="E160" s="64"/>
      <c r="F160" s="64"/>
      <c r="G160" s="64"/>
      <c r="H160" s="64"/>
      <c r="I160" s="64"/>
      <c r="J160" s="65">
        <f ca="1">J150+J151+J152+J153+J154+J156+J157+J158+J159</f>
        <v>434.02265487774565</v>
      </c>
      <c r="K160" s="65">
        <f ca="1">K150+K151+K152+K153+K154+K156+K157+K158+K159</f>
        <v>458.4597920815304</v>
      </c>
      <c r="L160" s="65">
        <f ca="1">L150+L151+L152+L153+L154+L156+L157+L158+L159</f>
        <v>472.72147686829834</v>
      </c>
      <c r="M160" s="65">
        <f ca="1">M150+M151+M152+M153+M154+M156+M157+M158+M159</f>
        <v>479.76534412991242</v>
      </c>
      <c r="N160" s="65">
        <f ca="1">N150+N151+N152+N153+N154+N156+N157+N158+N159</f>
        <v>489.2877731939268</v>
      </c>
    </row>
    <row r="161" spans="1:14" x14ac:dyDescent="0.3">
      <c r="A161" s="1"/>
      <c r="B161" s="2"/>
      <c r="C161" s="38"/>
      <c r="D161" s="64"/>
      <c r="E161" s="64"/>
      <c r="F161" s="64"/>
      <c r="G161" s="64"/>
      <c r="H161" s="64"/>
      <c r="I161" s="64"/>
      <c r="J161" s="65"/>
      <c r="K161" s="65"/>
      <c r="L161" s="65"/>
      <c r="M161" s="65"/>
      <c r="N161" s="65"/>
    </row>
    <row r="162" spans="1:14" x14ac:dyDescent="0.3">
      <c r="A162" s="1"/>
      <c r="B162" s="14" t="s">
        <v>158</v>
      </c>
      <c r="C162" s="75"/>
      <c r="D162" s="64"/>
      <c r="E162" s="64"/>
      <c r="F162" s="64"/>
      <c r="G162" s="64"/>
      <c r="H162" s="64"/>
      <c r="I162" s="64"/>
      <c r="J162" s="65">
        <f>-J82*J77</f>
        <v>-152.14706999999999</v>
      </c>
      <c r="K162" s="65">
        <f>-K82*K77</f>
        <v>-156.40718795999999</v>
      </c>
      <c r="L162" s="65">
        <f>-L82*L77</f>
        <v>-161.41221797471999</v>
      </c>
      <c r="M162" s="65">
        <f>-M82*M77</f>
        <v>-165.44752342408796</v>
      </c>
      <c r="N162" s="65">
        <f>-N82*N77</f>
        <v>-169.08736893941793</v>
      </c>
    </row>
    <row r="163" spans="1:14" x14ac:dyDescent="0.3">
      <c r="A163" s="1"/>
      <c r="B163" s="13" t="s">
        <v>159</v>
      </c>
      <c r="C163" s="38"/>
      <c r="D163" s="64"/>
      <c r="E163" s="64"/>
      <c r="F163" s="64"/>
      <c r="G163" s="64"/>
      <c r="H163" s="64"/>
      <c r="I163" s="64"/>
      <c r="J163" s="65">
        <f>J162</f>
        <v>-152.14706999999999</v>
      </c>
      <c r="K163" s="65">
        <f>K162</f>
        <v>-156.40718795999999</v>
      </c>
      <c r="L163" s="65">
        <f>L162</f>
        <v>-161.41221797471999</v>
      </c>
      <c r="M163" s="65">
        <f>M162</f>
        <v>-165.44752342408796</v>
      </c>
      <c r="N163" s="65">
        <f>N162</f>
        <v>-169.08736893941793</v>
      </c>
    </row>
    <row r="164" spans="1:14" x14ac:dyDescent="0.3">
      <c r="A164" s="1"/>
      <c r="B164" s="2"/>
      <c r="C164" s="38"/>
      <c r="D164" s="64"/>
      <c r="E164" s="64"/>
      <c r="F164" s="64"/>
      <c r="G164" s="64"/>
      <c r="H164" s="64"/>
      <c r="I164" s="64"/>
      <c r="J164" s="65"/>
      <c r="K164" s="65"/>
      <c r="L164" s="65"/>
      <c r="M164" s="65"/>
      <c r="N164" s="65"/>
    </row>
    <row r="165" spans="1:14" x14ac:dyDescent="0.3">
      <c r="A165" s="1"/>
      <c r="B165" s="13" t="s">
        <v>160</v>
      </c>
      <c r="C165" s="38"/>
      <c r="D165" s="64"/>
      <c r="E165" s="64"/>
      <c r="F165" s="64"/>
      <c r="G165" s="64"/>
      <c r="H165" s="64"/>
      <c r="I165" s="64"/>
      <c r="J165" s="65">
        <f ca="1">J160+J163</f>
        <v>281.87558487774567</v>
      </c>
      <c r="K165" s="65">
        <f ca="1">K160+K163</f>
        <v>302.05260412153041</v>
      </c>
      <c r="L165" s="65">
        <f ca="1">L160+L163</f>
        <v>311.30925889357832</v>
      </c>
      <c r="M165" s="65">
        <f ca="1">M160+M163</f>
        <v>314.31782070582449</v>
      </c>
      <c r="N165" s="65">
        <f ca="1">N160+N163</f>
        <v>320.20040425450884</v>
      </c>
    </row>
    <row r="166" spans="1:14" x14ac:dyDescent="0.3">
      <c r="A166" s="1"/>
      <c r="B166" s="2"/>
      <c r="C166" s="38"/>
      <c r="D166" s="64"/>
      <c r="E166" s="64"/>
      <c r="F166" s="64"/>
      <c r="G166" s="64"/>
      <c r="H166" s="64"/>
      <c r="I166" s="64"/>
      <c r="J166" s="65"/>
      <c r="K166" s="65"/>
      <c r="L166" s="65"/>
      <c r="M166" s="65"/>
      <c r="N166" s="65"/>
    </row>
    <row r="167" spans="1:14" x14ac:dyDescent="0.3">
      <c r="A167" s="1"/>
      <c r="B167" s="8" t="s">
        <v>161</v>
      </c>
      <c r="C167" s="38"/>
      <c r="D167" s="64"/>
      <c r="E167" s="64"/>
      <c r="F167" s="64"/>
      <c r="G167" s="64"/>
      <c r="H167" s="64"/>
      <c r="I167" s="64"/>
      <c r="J167" s="65">
        <f ca="1">J202-J213</f>
        <v>-100</v>
      </c>
      <c r="K167" s="65">
        <f t="shared" ref="K167:N167" ca="1" si="27">K202-K213</f>
        <v>0</v>
      </c>
      <c r="L167" s="65">
        <f t="shared" ca="1" si="27"/>
        <v>0</v>
      </c>
      <c r="M167" s="65">
        <f t="shared" ca="1" si="27"/>
        <v>0</v>
      </c>
      <c r="N167" s="65">
        <f t="shared" ca="1" si="27"/>
        <v>0</v>
      </c>
    </row>
    <row r="168" spans="1:14" x14ac:dyDescent="0.3">
      <c r="A168" s="1"/>
      <c r="B168" s="8" t="s">
        <v>162</v>
      </c>
      <c r="C168" s="38"/>
      <c r="D168" s="64"/>
      <c r="E168" s="64"/>
      <c r="F168" s="64"/>
      <c r="G168" s="64"/>
      <c r="H168" s="64"/>
      <c r="I168" s="64"/>
      <c r="J168" s="65">
        <f ca="1">-(J207+J214)</f>
        <v>-301.05739186206569</v>
      </c>
      <c r="K168" s="65">
        <f t="shared" ref="K168:N169" ca="1" si="28">-(K207+K214)</f>
        <v>-279.23441110585043</v>
      </c>
      <c r="L168" s="65">
        <f t="shared" ca="1" si="28"/>
        <v>-288.49106587789834</v>
      </c>
      <c r="M168" s="65">
        <f t="shared" ca="1" si="28"/>
        <v>-272.12678193818533</v>
      </c>
      <c r="N168" s="65">
        <f t="shared" ca="1" si="28"/>
        <v>0</v>
      </c>
    </row>
    <row r="169" spans="1:14" x14ac:dyDescent="0.3">
      <c r="A169" s="1"/>
      <c r="B169" s="8" t="s">
        <v>163</v>
      </c>
      <c r="C169" s="38"/>
      <c r="D169" s="64"/>
      <c r="E169" s="64"/>
      <c r="F169" s="64"/>
      <c r="G169" s="64"/>
      <c r="H169" s="64"/>
      <c r="I169" s="64"/>
      <c r="J169" s="65">
        <f ca="1">-(J208+J215)</f>
        <v>-22.818193015679995</v>
      </c>
      <c r="K169" s="65">
        <f t="shared" ca="1" si="28"/>
        <v>-22.818193015679995</v>
      </c>
      <c r="L169" s="65">
        <f t="shared" ca="1" si="28"/>
        <v>-22.818193015679995</v>
      </c>
      <c r="M169" s="65">
        <f t="shared" ca="1" si="28"/>
        <v>-42.191038767639142</v>
      </c>
      <c r="N169" s="65">
        <f t="shared" ca="1" si="28"/>
        <v>-320.20040425450884</v>
      </c>
    </row>
    <row r="170" spans="1:14" x14ac:dyDescent="0.3">
      <c r="A170" s="1"/>
      <c r="B170" s="14" t="s">
        <v>164</v>
      </c>
      <c r="C170" s="75"/>
      <c r="D170" s="64"/>
      <c r="E170" s="64"/>
      <c r="F170" s="64"/>
      <c r="G170" s="64"/>
      <c r="H170" s="64"/>
      <c r="I170" s="64"/>
      <c r="J170" s="65">
        <f>-J209</f>
        <v>0</v>
      </c>
      <c r="K170" s="65">
        <f t="shared" ref="K170:N170" si="29">-K209</f>
        <v>0</v>
      </c>
      <c r="L170" s="65">
        <f t="shared" si="29"/>
        <v>0</v>
      </c>
      <c r="M170" s="65">
        <f t="shared" si="29"/>
        <v>0</v>
      </c>
      <c r="N170" s="65">
        <f t="shared" si="29"/>
        <v>0</v>
      </c>
    </row>
    <row r="171" spans="1:14" x14ac:dyDescent="0.3">
      <c r="A171" s="1"/>
      <c r="B171" s="13" t="s">
        <v>165</v>
      </c>
      <c r="C171" s="38"/>
      <c r="D171" s="64"/>
      <c r="E171" s="64"/>
      <c r="F171" s="64"/>
      <c r="G171" s="64"/>
      <c r="H171" s="64"/>
      <c r="I171" s="64"/>
      <c r="J171" s="65">
        <f ca="1">J167+J168+J169+J170</f>
        <v>-423.87558487774567</v>
      </c>
      <c r="K171" s="65">
        <f ca="1">K167+K168+K169+K170</f>
        <v>-302.05260412153041</v>
      </c>
      <c r="L171" s="65">
        <f ca="1">L167+L168+L169+L170</f>
        <v>-311.30925889357832</v>
      </c>
      <c r="M171" s="65">
        <f ca="1">M167+M168+M169+M170</f>
        <v>-314.31782070582449</v>
      </c>
      <c r="N171" s="65">
        <f ca="1">N167+N168+N169+N170</f>
        <v>-320.20040425450884</v>
      </c>
    </row>
    <row r="172" spans="1:14" x14ac:dyDescent="0.3">
      <c r="A172" s="1"/>
      <c r="B172" s="2"/>
      <c r="C172" s="38"/>
      <c r="D172" s="64"/>
      <c r="E172" s="64"/>
      <c r="F172" s="64"/>
      <c r="G172" s="64"/>
      <c r="H172" s="64"/>
      <c r="I172" s="64"/>
      <c r="J172" s="65"/>
      <c r="K172" s="65"/>
      <c r="L172" s="65"/>
      <c r="M172" s="65"/>
      <c r="N172" s="65"/>
    </row>
    <row r="173" spans="1:14" x14ac:dyDescent="0.3">
      <c r="A173" s="1"/>
      <c r="B173" s="13" t="s">
        <v>166</v>
      </c>
      <c r="C173" s="38"/>
      <c r="D173" s="64"/>
      <c r="E173" s="64"/>
      <c r="F173" s="64"/>
      <c r="G173" s="64"/>
      <c r="H173" s="64"/>
      <c r="I173" s="64"/>
      <c r="J173" s="65">
        <f ca="1">J165+J171</f>
        <v>-142</v>
      </c>
      <c r="K173" s="65">
        <f ca="1">K165+K171</f>
        <v>0</v>
      </c>
      <c r="L173" s="65">
        <f ca="1">L165+L171</f>
        <v>0</v>
      </c>
      <c r="M173" s="65">
        <f ca="1">M165+M171</f>
        <v>0</v>
      </c>
      <c r="N173" s="65">
        <f ca="1">N165+N171</f>
        <v>0</v>
      </c>
    </row>
    <row r="174" spans="1:14" x14ac:dyDescent="0.3">
      <c r="A174" s="1"/>
      <c r="B174" s="2"/>
      <c r="C174" s="38"/>
      <c r="D174" s="64"/>
      <c r="E174" s="64"/>
      <c r="F174" s="64"/>
      <c r="G174" s="64"/>
      <c r="H174" s="64"/>
      <c r="I174" s="64"/>
      <c r="J174" s="65"/>
      <c r="K174" s="65"/>
      <c r="L174" s="65"/>
      <c r="M174" s="65"/>
      <c r="N174" s="65"/>
    </row>
    <row r="175" spans="1:14" x14ac:dyDescent="0.3">
      <c r="A175" s="1"/>
      <c r="B175" s="8" t="s">
        <v>167</v>
      </c>
      <c r="C175" s="38"/>
      <c r="D175" s="64"/>
      <c r="E175" s="64"/>
      <c r="F175" s="64"/>
      <c r="G175" s="64"/>
      <c r="H175" s="64"/>
      <c r="I175" s="64"/>
      <c r="J175" s="65">
        <f>I104</f>
        <v>192</v>
      </c>
      <c r="K175" s="65">
        <f>J176</f>
        <v>50</v>
      </c>
      <c r="L175" s="65">
        <f>K176</f>
        <v>50</v>
      </c>
      <c r="M175" s="65">
        <f>L176</f>
        <v>50</v>
      </c>
      <c r="N175" s="65">
        <f>M176</f>
        <v>50</v>
      </c>
    </row>
    <row r="176" spans="1:14" ht="15.6" customHeight="1" x14ac:dyDescent="0.3">
      <c r="A176" s="1"/>
      <c r="B176" s="13" t="s">
        <v>168</v>
      </c>
      <c r="C176" s="38"/>
      <c r="D176" s="64"/>
      <c r="E176" s="64"/>
      <c r="F176" s="64"/>
      <c r="G176" s="64"/>
      <c r="H176" s="64"/>
      <c r="I176" s="64"/>
      <c r="J176" s="65">
        <f>$I$15</f>
        <v>50</v>
      </c>
      <c r="K176" s="65">
        <f>$I$15</f>
        <v>50</v>
      </c>
      <c r="L176" s="65">
        <f>$I$15</f>
        <v>50</v>
      </c>
      <c r="M176" s="65">
        <f>$I$15</f>
        <v>50</v>
      </c>
      <c r="N176" s="65">
        <f>$I$15</f>
        <v>50</v>
      </c>
    </row>
    <row r="177" spans="1:14" x14ac:dyDescent="0.3">
      <c r="A177" s="1"/>
      <c r="B177" s="2"/>
      <c r="C177" s="38"/>
      <c r="D177" s="59"/>
      <c r="E177" s="59"/>
      <c r="F177" s="59"/>
      <c r="G177" s="59"/>
      <c r="H177" s="59"/>
      <c r="I177" s="59"/>
      <c r="J177" s="119"/>
      <c r="K177" s="119"/>
      <c r="L177" s="119"/>
      <c r="M177" s="119"/>
      <c r="N177" s="119"/>
    </row>
    <row r="178" spans="1:14" ht="19.95" customHeight="1" x14ac:dyDescent="0.3">
      <c r="A178" s="1"/>
      <c r="B178" s="19" t="s">
        <v>169</v>
      </c>
      <c r="C178" s="37"/>
      <c r="D178" s="60"/>
      <c r="E178" s="60"/>
      <c r="F178" s="60"/>
      <c r="G178" s="60"/>
      <c r="H178" s="60"/>
      <c r="I178" s="60"/>
      <c r="J178" s="120"/>
      <c r="K178" s="120"/>
      <c r="L178" s="120"/>
      <c r="M178" s="120"/>
      <c r="N178" s="120"/>
    </row>
    <row r="179" spans="1:14" ht="14.4" customHeight="1" x14ac:dyDescent="0.3">
      <c r="A179" s="1"/>
      <c r="B179" s="2"/>
      <c r="C179" s="38"/>
      <c r="D179" s="178" t="s">
        <v>86</v>
      </c>
      <c r="E179" s="179"/>
      <c r="F179" s="179"/>
      <c r="G179" s="55"/>
      <c r="H179" s="55"/>
      <c r="I179" s="55"/>
      <c r="J179" s="182" t="s">
        <v>88</v>
      </c>
      <c r="K179" s="183"/>
      <c r="L179" s="183"/>
      <c r="M179" s="183"/>
      <c r="N179" s="183"/>
    </row>
    <row r="180" spans="1:14" x14ac:dyDescent="0.3">
      <c r="A180" s="1"/>
      <c r="B180" s="2"/>
      <c r="C180" s="38"/>
      <c r="D180" s="56">
        <v>2012</v>
      </c>
      <c r="E180" s="56">
        <v>2013</v>
      </c>
      <c r="F180" s="56">
        <v>2014</v>
      </c>
      <c r="G180" s="56"/>
      <c r="H180" s="56"/>
      <c r="I180" s="56"/>
      <c r="J180" s="118">
        <v>2015</v>
      </c>
      <c r="K180" s="118">
        <v>2016</v>
      </c>
      <c r="L180" s="118">
        <v>2017</v>
      </c>
      <c r="M180" s="118">
        <v>2018</v>
      </c>
      <c r="N180" s="118">
        <v>2019</v>
      </c>
    </row>
    <row r="181" spans="1:14" x14ac:dyDescent="0.3">
      <c r="A181" s="1"/>
      <c r="B181" s="20" t="s">
        <v>170</v>
      </c>
      <c r="C181" s="38"/>
      <c r="D181" s="86"/>
      <c r="E181" s="86"/>
      <c r="F181" s="86"/>
      <c r="G181" s="86"/>
      <c r="H181" s="86"/>
      <c r="I181" s="86"/>
      <c r="J181" s="121">
        <v>3.0000000000000001E-3</v>
      </c>
      <c r="K181" s="121">
        <v>3.5000000000000001E-3</v>
      </c>
      <c r="L181" s="121">
        <v>7.4999999999999997E-3</v>
      </c>
      <c r="M181" s="121">
        <v>1.55E-2</v>
      </c>
      <c r="N181" s="121">
        <v>0.02</v>
      </c>
    </row>
    <row r="182" spans="1:14" x14ac:dyDescent="0.3">
      <c r="A182" s="1"/>
      <c r="B182" s="2"/>
      <c r="C182" s="38"/>
      <c r="D182" s="59"/>
      <c r="E182" s="59"/>
      <c r="F182" s="87" t="s">
        <v>171</v>
      </c>
      <c r="G182" s="59"/>
      <c r="H182" s="59"/>
      <c r="I182" s="59"/>
      <c r="J182" s="119"/>
      <c r="K182" s="119"/>
      <c r="L182" s="119"/>
      <c r="M182" s="119"/>
      <c r="N182" s="119"/>
    </row>
    <row r="183" spans="1:14" x14ac:dyDescent="0.3">
      <c r="A183" s="1"/>
      <c r="B183" s="20" t="s">
        <v>172</v>
      </c>
      <c r="C183" s="38"/>
      <c r="D183" s="59"/>
      <c r="E183" s="87"/>
      <c r="F183" s="87" t="s">
        <v>173</v>
      </c>
      <c r="G183" s="59"/>
      <c r="H183" s="59"/>
      <c r="I183" s="59"/>
      <c r="J183" s="119"/>
      <c r="K183" s="119"/>
      <c r="L183" s="119"/>
      <c r="M183" s="119"/>
      <c r="N183" s="119"/>
    </row>
    <row r="184" spans="1:14" x14ac:dyDescent="0.3">
      <c r="A184" s="1"/>
      <c r="B184" s="2" t="s">
        <v>46</v>
      </c>
      <c r="C184" s="38"/>
      <c r="D184" s="88"/>
      <c r="E184" s="9">
        <v>2.2499999999999999E-2</v>
      </c>
      <c r="F184" s="88"/>
      <c r="G184" s="88"/>
      <c r="H184" s="88"/>
      <c r="I184" s="88"/>
      <c r="J184" s="131">
        <f>J$181+$E184</f>
        <v>2.5499999999999998E-2</v>
      </c>
      <c r="K184" s="131">
        <f t="shared" ref="K184:N184" si="30">K$181+$E184</f>
        <v>2.5999999999999999E-2</v>
      </c>
      <c r="L184" s="131">
        <f t="shared" si="30"/>
        <v>0.03</v>
      </c>
      <c r="M184" s="131">
        <f t="shared" si="30"/>
        <v>3.7999999999999999E-2</v>
      </c>
      <c r="N184" s="131">
        <f t="shared" si="30"/>
        <v>4.2499999999999996E-2</v>
      </c>
    </row>
    <row r="185" spans="1:14" x14ac:dyDescent="0.3">
      <c r="A185" s="1"/>
      <c r="B185" s="2" t="s">
        <v>49</v>
      </c>
      <c r="C185" s="38"/>
      <c r="D185" s="88"/>
      <c r="E185" s="88"/>
      <c r="F185" s="9">
        <v>6.25E-2</v>
      </c>
      <c r="G185" s="88"/>
      <c r="H185" s="88"/>
      <c r="I185" s="88"/>
      <c r="J185" s="131">
        <f>$F185</f>
        <v>6.25E-2</v>
      </c>
      <c r="K185" s="131">
        <f t="shared" ref="K185:N185" si="31">$F185</f>
        <v>6.25E-2</v>
      </c>
      <c r="L185" s="131">
        <f t="shared" si="31"/>
        <v>6.25E-2</v>
      </c>
      <c r="M185" s="131">
        <f t="shared" si="31"/>
        <v>6.25E-2</v>
      </c>
      <c r="N185" s="131">
        <f t="shared" si="31"/>
        <v>6.25E-2</v>
      </c>
    </row>
    <row r="186" spans="1:14" x14ac:dyDescent="0.3">
      <c r="A186" s="1"/>
      <c r="B186" s="2" t="s">
        <v>50</v>
      </c>
      <c r="C186" s="38"/>
      <c r="D186" s="88"/>
      <c r="E186" s="9">
        <v>3.7499999999999999E-2</v>
      </c>
      <c r="F186" s="88"/>
      <c r="G186" s="88"/>
      <c r="H186" s="88"/>
      <c r="I186" s="88"/>
      <c r="J186" s="131">
        <f>J$181+$E186</f>
        <v>4.0500000000000001E-2</v>
      </c>
      <c r="K186" s="131">
        <f t="shared" ref="K186:N186" si="32">K$181+$E186</f>
        <v>4.1000000000000002E-2</v>
      </c>
      <c r="L186" s="131">
        <f t="shared" si="32"/>
        <v>4.4999999999999998E-2</v>
      </c>
      <c r="M186" s="131">
        <f t="shared" si="32"/>
        <v>5.2999999999999999E-2</v>
      </c>
      <c r="N186" s="131">
        <f t="shared" si="32"/>
        <v>5.7499999999999996E-2</v>
      </c>
    </row>
    <row r="187" spans="1:14" x14ac:dyDescent="0.3">
      <c r="A187" s="1"/>
      <c r="B187" s="2" t="s">
        <v>52</v>
      </c>
      <c r="C187" s="38"/>
      <c r="D187" s="88"/>
      <c r="E187" s="88"/>
      <c r="F187" s="9">
        <v>0.12</v>
      </c>
      <c r="G187" s="88"/>
      <c r="H187" s="88"/>
      <c r="I187" s="88"/>
      <c r="J187" s="131">
        <f>$F187</f>
        <v>0.12</v>
      </c>
      <c r="K187" s="131">
        <f t="shared" ref="K187:N187" si="33">$F187</f>
        <v>0.12</v>
      </c>
      <c r="L187" s="131">
        <f t="shared" si="33"/>
        <v>0.12</v>
      </c>
      <c r="M187" s="131">
        <f t="shared" si="33"/>
        <v>0.12</v>
      </c>
      <c r="N187" s="131">
        <f t="shared" si="33"/>
        <v>0.12</v>
      </c>
    </row>
    <row r="188" spans="1:14" x14ac:dyDescent="0.3">
      <c r="A188" s="1"/>
      <c r="B188" s="2"/>
      <c r="C188" s="38"/>
      <c r="D188" s="59"/>
      <c r="E188" s="59"/>
      <c r="F188" s="59"/>
      <c r="G188" s="59"/>
      <c r="H188" s="59"/>
      <c r="I188" s="59"/>
      <c r="J188" s="119"/>
      <c r="K188" s="119"/>
      <c r="L188" s="119"/>
      <c r="M188" s="119"/>
      <c r="N188" s="119"/>
    </row>
    <row r="189" spans="1:14" x14ac:dyDescent="0.3">
      <c r="A189" s="1"/>
      <c r="B189" s="20" t="s">
        <v>174</v>
      </c>
      <c r="C189" s="38"/>
      <c r="D189" s="59"/>
      <c r="E189" s="59"/>
      <c r="F189" s="59"/>
      <c r="G189" s="59"/>
      <c r="H189" s="59"/>
      <c r="I189" s="59"/>
      <c r="J189" s="119"/>
      <c r="K189" s="119"/>
      <c r="L189" s="119"/>
      <c r="M189" s="119"/>
      <c r="N189" s="119"/>
    </row>
    <row r="190" spans="1:14" x14ac:dyDescent="0.3">
      <c r="A190" s="1"/>
      <c r="B190" s="2" t="s">
        <v>46</v>
      </c>
      <c r="C190" s="38"/>
      <c r="D190" s="64"/>
      <c r="E190" s="64"/>
      <c r="F190" s="64"/>
      <c r="G190" s="64"/>
      <c r="H190" s="64"/>
      <c r="I190" s="64"/>
      <c r="J190" s="105">
        <f ca="1">-AVERAGE(I120,J120)*J184</f>
        <v>-1.2749999999999999</v>
      </c>
      <c r="K190" s="105">
        <f ca="1">-AVERAGE(J120,K120)*K184</f>
        <v>0</v>
      </c>
      <c r="L190" s="105">
        <f ca="1">-AVERAGE(K120,L120)*L184</f>
        <v>0</v>
      </c>
      <c r="M190" s="105">
        <f ca="1">-AVERAGE(L120,M120)*M184</f>
        <v>0</v>
      </c>
      <c r="N190" s="105">
        <f ca="1">-AVERAGE(M120,N120)*N184</f>
        <v>0</v>
      </c>
    </row>
    <row r="191" spans="1:14" x14ac:dyDescent="0.3">
      <c r="A191" s="1"/>
      <c r="B191" s="2" t="s">
        <v>49</v>
      </c>
      <c r="C191" s="38"/>
      <c r="D191" s="64"/>
      <c r="E191" s="64"/>
      <c r="F191" s="64"/>
      <c r="G191" s="64"/>
      <c r="H191" s="64"/>
      <c r="I191" s="64"/>
      <c r="J191" s="105">
        <f t="shared" ref="J191:N192" ca="1" si="34">-AVERAGE(I127,J127)*J185</f>
        <v>-61.898809678310428</v>
      </c>
      <c r="K191" s="105">
        <f t="shared" ca="1" si="34"/>
        <v>-43.764690835563059</v>
      </c>
      <c r="L191" s="105">
        <f t="shared" ca="1" si="34"/>
        <v>-26.023269679820906</v>
      </c>
      <c r="M191" s="105">
        <f t="shared" ca="1" si="34"/>
        <v>-8.5039619355682916</v>
      </c>
      <c r="N191" s="105">
        <f t="shared" ca="1" si="34"/>
        <v>0</v>
      </c>
    </row>
    <row r="192" spans="1:14" x14ac:dyDescent="0.3">
      <c r="A192" s="1"/>
      <c r="B192" s="2" t="s">
        <v>50</v>
      </c>
      <c r="C192" s="38"/>
      <c r="D192" s="64"/>
      <c r="E192" s="64"/>
      <c r="F192" s="64"/>
      <c r="G192" s="64"/>
      <c r="H192" s="64"/>
      <c r="I192" s="64"/>
      <c r="J192" s="105">
        <f t="shared" si="34"/>
        <v>-91.951613304936473</v>
      </c>
      <c r="K192" s="105">
        <f t="shared" ca="1" si="34"/>
        <v>-92.15127249382364</v>
      </c>
      <c r="L192" s="105">
        <f t="shared" ca="1" si="34"/>
        <v>-100.11482185629596</v>
      </c>
      <c r="M192" s="105">
        <f t="shared" ca="1" si="34"/>
        <v>-116.19026776626836</v>
      </c>
      <c r="N192" s="105">
        <f t="shared" ca="1" si="34"/>
        <v>-115.63672519349872</v>
      </c>
    </row>
    <row r="193" spans="1:14" x14ac:dyDescent="0.3">
      <c r="A193" s="1"/>
      <c r="B193" s="2" t="s">
        <v>52</v>
      </c>
      <c r="C193" s="38"/>
      <c r="D193" s="64"/>
      <c r="E193" s="64"/>
      <c r="F193" s="64"/>
      <c r="G193" s="64"/>
      <c r="H193" s="64"/>
      <c r="I193" s="64"/>
      <c r="J193" s="105">
        <f>-J187*$D$35</f>
        <v>-28.326032709119993</v>
      </c>
      <c r="K193" s="105">
        <f>-K187*$D$35</f>
        <v>-28.326032709119993</v>
      </c>
      <c r="L193" s="105">
        <f>-L187*$D$35</f>
        <v>-28.326032709119993</v>
      </c>
      <c r="M193" s="105">
        <f>-M187*$D$35</f>
        <v>-28.326032709119993</v>
      </c>
      <c r="N193" s="105">
        <f>-N187*$D$35</f>
        <v>-28.326032709119993</v>
      </c>
    </row>
    <row r="194" spans="1:14" x14ac:dyDescent="0.3">
      <c r="A194" s="1"/>
      <c r="B194" s="7" t="s">
        <v>175</v>
      </c>
      <c r="C194" s="75"/>
      <c r="D194" s="64"/>
      <c r="E194" s="64"/>
      <c r="F194" s="64"/>
      <c r="G194" s="64"/>
      <c r="H194" s="64"/>
      <c r="I194" s="64"/>
      <c r="J194" s="105">
        <f>AVERAGE(I104,J104)*J181</f>
        <v>0.36299999999999999</v>
      </c>
      <c r="K194" s="105">
        <f>AVERAGE(J104,K104)*K181</f>
        <v>0.17500000000000002</v>
      </c>
      <c r="L194" s="105">
        <f>AVERAGE(K104,L104)*L181</f>
        <v>0.375</v>
      </c>
      <c r="M194" s="105">
        <f>AVERAGE(L104,M104)*M181</f>
        <v>0.77500000000000002</v>
      </c>
      <c r="N194" s="105">
        <f>AVERAGE(M104,N104)*N181</f>
        <v>1</v>
      </c>
    </row>
    <row r="195" spans="1:14" x14ac:dyDescent="0.3">
      <c r="A195" s="1"/>
      <c r="B195" s="6" t="s">
        <v>176</v>
      </c>
      <c r="C195" s="38"/>
      <c r="D195" s="64"/>
      <c r="E195" s="64"/>
      <c r="F195" s="64"/>
      <c r="G195" s="64"/>
      <c r="H195" s="64"/>
      <c r="I195" s="64"/>
      <c r="J195" s="105">
        <f ca="1">SUM(J190:J194)</f>
        <v>-183.08845569236689</v>
      </c>
      <c r="K195" s="105">
        <f ca="1">SUM(K190:K194)</f>
        <v>-164.06699603850669</v>
      </c>
      <c r="L195" s="105">
        <f ca="1">SUM(L190:L194)</f>
        <v>-154.08912424523686</v>
      </c>
      <c r="M195" s="105">
        <f ca="1">SUM(M190:M194)</f>
        <v>-152.24526241095666</v>
      </c>
      <c r="N195" s="105">
        <f ca="1">SUM(N190:N194)</f>
        <v>-142.9627579026187</v>
      </c>
    </row>
    <row r="196" spans="1:14" x14ac:dyDescent="0.3">
      <c r="A196" s="1"/>
      <c r="B196" s="2"/>
      <c r="C196" s="38"/>
      <c r="D196" s="59"/>
      <c r="E196" s="59"/>
      <c r="F196" s="59"/>
      <c r="G196" s="59"/>
      <c r="H196" s="59"/>
      <c r="I196" s="59"/>
      <c r="J196" s="119"/>
      <c r="K196" s="119"/>
      <c r="L196" s="119"/>
      <c r="M196" s="119"/>
      <c r="N196" s="119"/>
    </row>
    <row r="197" spans="1:14" x14ac:dyDescent="0.3">
      <c r="A197" s="1"/>
      <c r="B197" s="20" t="s">
        <v>177</v>
      </c>
      <c r="C197" s="38"/>
      <c r="D197" s="59"/>
      <c r="E197" s="59"/>
      <c r="F197" s="59"/>
      <c r="G197" s="59"/>
      <c r="H197" s="59"/>
      <c r="I197" s="59"/>
      <c r="J197" s="119"/>
      <c r="K197" s="119"/>
      <c r="L197" s="119"/>
      <c r="M197" s="119"/>
      <c r="N197" s="119"/>
    </row>
    <row r="198" spans="1:14" x14ac:dyDescent="0.3">
      <c r="A198" s="1"/>
      <c r="B198" s="2" t="s">
        <v>167</v>
      </c>
      <c r="C198" s="38"/>
      <c r="D198" s="64"/>
      <c r="E198" s="64"/>
      <c r="F198" s="64"/>
      <c r="G198" s="64"/>
      <c r="H198" s="64"/>
      <c r="I198" s="64"/>
      <c r="J198" s="65">
        <f>I104</f>
        <v>192</v>
      </c>
      <c r="K198" s="65">
        <f>J176</f>
        <v>50</v>
      </c>
      <c r="L198" s="65">
        <f>K176</f>
        <v>50</v>
      </c>
      <c r="M198" s="65">
        <f>L176</f>
        <v>50</v>
      </c>
      <c r="N198" s="65">
        <f>M176</f>
        <v>50</v>
      </c>
    </row>
    <row r="199" spans="1:14" x14ac:dyDescent="0.3">
      <c r="A199" s="1"/>
      <c r="B199" s="2" t="s">
        <v>178</v>
      </c>
      <c r="C199" s="38"/>
      <c r="D199" s="64"/>
      <c r="E199" s="64"/>
      <c r="F199" s="64"/>
      <c r="G199" s="64"/>
      <c r="H199" s="64"/>
      <c r="I199" s="64"/>
      <c r="J199" s="65">
        <f>-J176</f>
        <v>-50</v>
      </c>
      <c r="K199" s="65">
        <f>-K176</f>
        <v>-50</v>
      </c>
      <c r="L199" s="65">
        <f>-L176</f>
        <v>-50</v>
      </c>
      <c r="M199" s="65">
        <f>-M176</f>
        <v>-50</v>
      </c>
      <c r="N199" s="65">
        <f>-N176</f>
        <v>-50</v>
      </c>
    </row>
    <row r="200" spans="1:14" x14ac:dyDescent="0.3">
      <c r="A200" s="1"/>
      <c r="B200" s="7" t="s">
        <v>179</v>
      </c>
      <c r="C200" s="75"/>
      <c r="D200" s="64"/>
      <c r="E200" s="64"/>
      <c r="F200" s="64"/>
      <c r="G200" s="64"/>
      <c r="H200" s="64"/>
      <c r="I200" s="64"/>
      <c r="J200" s="65">
        <f ca="1">J165</f>
        <v>281.87558487774567</v>
      </c>
      <c r="K200" s="65">
        <f ca="1">K165</f>
        <v>302.05260412153041</v>
      </c>
      <c r="L200" s="65">
        <f ca="1">L165</f>
        <v>311.30925889357832</v>
      </c>
      <c r="M200" s="65">
        <f ca="1">M165</f>
        <v>314.31782070582449</v>
      </c>
      <c r="N200" s="65">
        <f ca="1">N165</f>
        <v>320.20040425450884</v>
      </c>
    </row>
    <row r="201" spans="1:14" x14ac:dyDescent="0.3">
      <c r="A201" s="1"/>
      <c r="B201" s="6" t="s">
        <v>180</v>
      </c>
      <c r="C201" s="38"/>
      <c r="D201" s="66"/>
      <c r="E201" s="66"/>
      <c r="F201" s="66"/>
      <c r="G201" s="64"/>
      <c r="H201" s="64"/>
      <c r="I201" s="64"/>
      <c r="J201" s="67">
        <f ca="1">J198+J199+J200</f>
        <v>423.87558487774567</v>
      </c>
      <c r="K201" s="67">
        <f ca="1">K198+K199+K200</f>
        <v>302.05260412153041</v>
      </c>
      <c r="L201" s="67">
        <f ca="1">L198+L199+L200</f>
        <v>311.30925889357832</v>
      </c>
      <c r="M201" s="67">
        <f ca="1">M198+M199+M200</f>
        <v>314.31782070582449</v>
      </c>
      <c r="N201" s="67">
        <f ca="1">N198+N199+N200</f>
        <v>320.20040425450884</v>
      </c>
    </row>
    <row r="202" spans="1:14" x14ac:dyDescent="0.3">
      <c r="A202" s="1"/>
      <c r="B202" s="7" t="s">
        <v>181</v>
      </c>
      <c r="C202" s="75"/>
      <c r="D202" s="64"/>
      <c r="E202" s="64"/>
      <c r="F202" s="64"/>
      <c r="G202" s="64"/>
      <c r="H202" s="64"/>
      <c r="I202" s="64"/>
      <c r="J202" s="65">
        <f ca="1">MAX(-J201,0)</f>
        <v>0</v>
      </c>
      <c r="K202" s="65">
        <f ca="1">MAX(-K201,0)</f>
        <v>0</v>
      </c>
      <c r="L202" s="65">
        <f ca="1">MAX(-L201,0)</f>
        <v>0</v>
      </c>
      <c r="M202" s="65">
        <f ca="1">MAX(-M201,0)</f>
        <v>0</v>
      </c>
      <c r="N202" s="65">
        <f ca="1">MAX(-N201,0)</f>
        <v>0</v>
      </c>
    </row>
    <row r="203" spans="1:14" x14ac:dyDescent="0.3">
      <c r="A203" s="1"/>
      <c r="B203" s="6" t="s">
        <v>182</v>
      </c>
      <c r="C203" s="38"/>
      <c r="D203" s="66"/>
      <c r="E203" s="66"/>
      <c r="F203" s="66"/>
      <c r="G203" s="64"/>
      <c r="H203" s="64"/>
      <c r="I203" s="64"/>
      <c r="J203" s="67">
        <f ca="1">J201+J202</f>
        <v>423.87558487774567</v>
      </c>
      <c r="K203" s="67">
        <f ca="1">K201+K202</f>
        <v>302.05260412153041</v>
      </c>
      <c r="L203" s="67">
        <f ca="1">L201+L202</f>
        <v>311.30925889357832</v>
      </c>
      <c r="M203" s="67">
        <f ca="1">M201+M202</f>
        <v>314.31782070582449</v>
      </c>
      <c r="N203" s="67">
        <f ca="1">N201+N202</f>
        <v>320.20040425450884</v>
      </c>
    </row>
    <row r="204" spans="1:14" x14ac:dyDescent="0.3">
      <c r="A204" s="1"/>
      <c r="B204" s="2"/>
      <c r="C204" s="38"/>
      <c r="D204" s="64"/>
      <c r="E204" s="64"/>
      <c r="F204" s="64"/>
      <c r="G204" s="64"/>
      <c r="H204" s="64"/>
      <c r="I204" s="64"/>
      <c r="J204" s="65"/>
      <c r="K204" s="65"/>
      <c r="L204" s="65"/>
      <c r="M204" s="65"/>
      <c r="N204" s="65"/>
    </row>
    <row r="205" spans="1:14" x14ac:dyDescent="0.3">
      <c r="A205" s="1"/>
      <c r="B205" s="20" t="s">
        <v>183</v>
      </c>
      <c r="C205" s="38"/>
      <c r="D205" s="66"/>
      <c r="E205" s="66"/>
      <c r="F205" s="66"/>
      <c r="G205" s="64"/>
      <c r="H205" s="64"/>
      <c r="I205" s="64"/>
      <c r="J205" s="67"/>
      <c r="K205" s="67"/>
      <c r="L205" s="67"/>
      <c r="M205" s="67"/>
      <c r="N205" s="67"/>
    </row>
    <row r="206" spans="1:14" x14ac:dyDescent="0.3">
      <c r="A206" s="1"/>
      <c r="B206" s="2" t="s">
        <v>184</v>
      </c>
      <c r="C206" s="38"/>
      <c r="D206" s="64"/>
      <c r="E206" s="64"/>
      <c r="F206" s="64"/>
      <c r="G206" s="64"/>
      <c r="H206" s="64"/>
      <c r="I206" s="64"/>
      <c r="J206" s="65"/>
      <c r="K206" s="65"/>
      <c r="L206" s="65"/>
      <c r="M206" s="65"/>
      <c r="N206" s="65"/>
    </row>
    <row r="207" spans="1:14" x14ac:dyDescent="0.3">
      <c r="A207" s="1"/>
      <c r="B207" s="2" t="s">
        <v>49</v>
      </c>
      <c r="C207" s="38"/>
      <c r="D207" s="64"/>
      <c r="E207" s="64"/>
      <c r="F207" s="64"/>
      <c r="G207" s="64"/>
      <c r="H207" s="64"/>
      <c r="I207" s="64"/>
      <c r="J207" s="105">
        <f>MIN($D$33*$J$33, I127)</f>
        <v>114.09096507839998</v>
      </c>
      <c r="K207" s="105">
        <f ca="1">MIN($D$33*$J$33, J127)</f>
        <v>114.09096507839998</v>
      </c>
      <c r="L207" s="105">
        <f ca="1">MIN($D$33*$J$33, K127)</f>
        <v>114.09096507839998</v>
      </c>
      <c r="M207" s="105">
        <f ca="1">MIN($D$33*$J$33, L127)</f>
        <v>114.09096507839998</v>
      </c>
      <c r="N207" s="105">
        <f ca="1">MIN($D$33*$J$33, M127)</f>
        <v>0</v>
      </c>
    </row>
    <row r="208" spans="1:14" x14ac:dyDescent="0.3">
      <c r="A208" s="1"/>
      <c r="B208" s="2" t="s">
        <v>50</v>
      </c>
      <c r="C208" s="38"/>
      <c r="D208" s="64"/>
      <c r="E208" s="64"/>
      <c r="F208" s="64"/>
      <c r="G208" s="64"/>
      <c r="H208" s="64"/>
      <c r="I208" s="64"/>
      <c r="J208" s="105">
        <f>MIN($D$34*$J$34, I128)</f>
        <v>22.818193015679995</v>
      </c>
      <c r="K208" s="105">
        <f>MIN($D$34*$J$34, J128)</f>
        <v>22.818193015679995</v>
      </c>
      <c r="L208" s="105">
        <f ca="1">MIN($D$34*$J$34, K128)</f>
        <v>22.818193015679995</v>
      </c>
      <c r="M208" s="105">
        <f ca="1">MIN($D$34*$J$34, L128)</f>
        <v>22.818193015679995</v>
      </c>
      <c r="N208" s="105">
        <f ca="1">MIN($D$34*$J$34, M128)</f>
        <v>22.818193015679995</v>
      </c>
    </row>
    <row r="209" spans="1:14" x14ac:dyDescent="0.3">
      <c r="A209" s="1"/>
      <c r="B209" s="7" t="s">
        <v>52</v>
      </c>
      <c r="C209" s="75"/>
      <c r="D209" s="66"/>
      <c r="E209" s="66"/>
      <c r="F209" s="66"/>
      <c r="G209" s="64"/>
      <c r="H209" s="64"/>
      <c r="I209" s="64"/>
      <c r="J209" s="105">
        <f>D35*J35</f>
        <v>0</v>
      </c>
      <c r="K209" s="105">
        <f>$J$209</f>
        <v>0</v>
      </c>
      <c r="L209" s="105">
        <f>$J$209</f>
        <v>0</v>
      </c>
      <c r="M209" s="105">
        <f>$J$209</f>
        <v>0</v>
      </c>
      <c r="N209" s="105">
        <f>$J$209</f>
        <v>0</v>
      </c>
    </row>
    <row r="210" spans="1:14" x14ac:dyDescent="0.3">
      <c r="A210" s="1"/>
      <c r="B210" s="6" t="s">
        <v>185</v>
      </c>
      <c r="C210" s="38"/>
      <c r="D210" s="64"/>
      <c r="E210" s="64"/>
      <c r="F210" s="64"/>
      <c r="G210" s="64"/>
      <c r="H210" s="64"/>
      <c r="I210" s="64"/>
      <c r="J210" s="108">
        <f>J207+J208+J209</f>
        <v>136.90915809407997</v>
      </c>
      <c r="K210" s="108">
        <f ca="1">K207+K208+K209</f>
        <v>136.90915809407997</v>
      </c>
      <c r="L210" s="108">
        <f ca="1">L207+L208+L209</f>
        <v>136.90915809407997</v>
      </c>
      <c r="M210" s="108">
        <f ca="1">M207+M208+M209</f>
        <v>136.90915809407997</v>
      </c>
      <c r="N210" s="108">
        <f ca="1">N207+N208+N209</f>
        <v>22.818193015679995</v>
      </c>
    </row>
    <row r="211" spans="1:14" x14ac:dyDescent="0.3">
      <c r="A211" s="1"/>
      <c r="B211" s="2"/>
      <c r="C211" s="38"/>
      <c r="D211" s="64"/>
      <c r="E211" s="64"/>
      <c r="F211" s="64"/>
      <c r="G211" s="64"/>
      <c r="H211" s="64"/>
      <c r="I211" s="64"/>
      <c r="J211" s="65"/>
      <c r="K211" s="65"/>
      <c r="L211" s="65"/>
      <c r="M211" s="65"/>
      <c r="N211" s="65"/>
    </row>
    <row r="212" spans="1:14" x14ac:dyDescent="0.3">
      <c r="A212" s="1"/>
      <c r="B212" s="20" t="s">
        <v>186</v>
      </c>
      <c r="C212" s="38"/>
      <c r="D212" s="64"/>
      <c r="E212" s="64"/>
      <c r="F212" s="64"/>
      <c r="G212" s="64"/>
      <c r="H212" s="64"/>
      <c r="I212" s="64"/>
      <c r="J212" s="65"/>
      <c r="K212" s="65"/>
      <c r="L212" s="65"/>
      <c r="M212" s="65"/>
      <c r="N212" s="65"/>
    </row>
    <row r="213" spans="1:14" x14ac:dyDescent="0.3">
      <c r="A213" s="1"/>
      <c r="B213" s="2" t="s">
        <v>46</v>
      </c>
      <c r="C213" s="38"/>
      <c r="D213" s="64"/>
      <c r="E213" s="64"/>
      <c r="F213" s="64"/>
      <c r="G213" s="64"/>
      <c r="H213" s="64"/>
      <c r="I213" s="64"/>
      <c r="J213" s="65">
        <f ca="1">MIN(MAX(J201-J210,0), I120)</f>
        <v>100</v>
      </c>
      <c r="K213" s="65">
        <f ca="1">MIN(MAX(K201-K210,0), J120)</f>
        <v>0</v>
      </c>
      <c r="L213" s="65">
        <f ca="1">MIN(MAX(L201-L210,0), K120)</f>
        <v>0</v>
      </c>
      <c r="M213" s="65">
        <f ca="1">MIN(MAX(M201-M210,0), L120)</f>
        <v>0</v>
      </c>
      <c r="N213" s="65">
        <f ca="1">MIN(MAX(N201-N210,0), M120)</f>
        <v>0</v>
      </c>
    </row>
    <row r="214" spans="1:14" x14ac:dyDescent="0.3">
      <c r="A214" s="1"/>
      <c r="B214" s="2" t="s">
        <v>49</v>
      </c>
      <c r="C214" s="38"/>
      <c r="D214" s="64"/>
      <c r="E214" s="64"/>
      <c r="F214" s="64"/>
      <c r="G214" s="64"/>
      <c r="H214" s="64"/>
      <c r="I214" s="64"/>
      <c r="J214" s="65">
        <f ca="1">MIN(MAX(J201-J210-J213,0), I127-J207)</f>
        <v>186.96642678366572</v>
      </c>
      <c r="K214" s="65">
        <f ca="1">MIN(MAX(K201-K210-K213,0), J127-K207)</f>
        <v>165.14344602745044</v>
      </c>
      <c r="L214" s="65">
        <f ca="1">MIN(MAX(L201-L210-L213,0), K127-L207)</f>
        <v>174.40010079949835</v>
      </c>
      <c r="M214" s="65">
        <f ca="1">MIN(MAX(M201-M210-M213,0), L127-M207)</f>
        <v>158.03581685978537</v>
      </c>
      <c r="N214" s="65">
        <f ca="1">MIN(MAX(N201-N210-N213,0), M127-N207)</f>
        <v>0</v>
      </c>
    </row>
    <row r="215" spans="1:14" x14ac:dyDescent="0.3">
      <c r="A215" s="1"/>
      <c r="B215" s="2" t="s">
        <v>50</v>
      </c>
      <c r="C215" s="38"/>
      <c r="D215" s="64"/>
      <c r="E215" s="64"/>
      <c r="F215" s="64"/>
      <c r="G215" s="64"/>
      <c r="H215" s="64"/>
      <c r="I215" s="64"/>
      <c r="J215" s="65">
        <f ca="1">MIN(MAX(J201-J210-J213-J214,0), I128-J208)</f>
        <v>0</v>
      </c>
      <c r="K215" s="65">
        <f ca="1">MIN(MAX(K201-K210-K213-K214,0), J128-K208)</f>
        <v>0</v>
      </c>
      <c r="L215" s="65">
        <f ca="1">MIN(MAX(L201-L210-L213-L214,0), K128-L208)</f>
        <v>0</v>
      </c>
      <c r="M215" s="65">
        <f ca="1">MIN(MAX(M201-M210-M213-M214,0), L128-M208)</f>
        <v>19.372845751959147</v>
      </c>
      <c r="N215" s="65">
        <f ca="1">MIN(MAX(N201-N210-N213-N214,0), M128-N208)</f>
        <v>297.38221123882886</v>
      </c>
    </row>
    <row r="216" spans="1:14" x14ac:dyDescent="0.3">
      <c r="A216" s="1"/>
      <c r="B216" s="7" t="s">
        <v>52</v>
      </c>
      <c r="C216" s="75"/>
      <c r="D216" s="64"/>
      <c r="E216" s="64"/>
      <c r="F216" s="64"/>
      <c r="G216" s="64"/>
      <c r="H216" s="64"/>
      <c r="I216" s="64"/>
      <c r="J216" s="65"/>
      <c r="K216" s="65"/>
      <c r="L216" s="65"/>
      <c r="M216" s="65"/>
      <c r="N216" s="65"/>
    </row>
    <row r="217" spans="1:14" x14ac:dyDescent="0.3">
      <c r="A217" s="1"/>
      <c r="B217" s="6" t="s">
        <v>187</v>
      </c>
      <c r="C217" s="38"/>
      <c r="D217" s="66"/>
      <c r="E217" s="66"/>
      <c r="F217" s="66"/>
      <c r="G217" s="64"/>
      <c r="H217" s="64"/>
      <c r="I217" s="64"/>
      <c r="J217" s="67">
        <f ca="1">J213+J214+J215</f>
        <v>286.96642678366572</v>
      </c>
      <c r="K217" s="67">
        <f ca="1">K213+K214+K215</f>
        <v>165.14344602745044</v>
      </c>
      <c r="L217" s="67">
        <f ca="1">L213+L214+L215</f>
        <v>174.40010079949835</v>
      </c>
      <c r="M217" s="67">
        <f ca="1">M213+M214+M215</f>
        <v>177.40866261174452</v>
      </c>
      <c r="N217" s="67">
        <f ca="1">N213+N214+N215</f>
        <v>297.38221123882886</v>
      </c>
    </row>
    <row r="218" spans="1:14" x14ac:dyDescent="0.3">
      <c r="A218" s="1"/>
      <c r="B218" s="2"/>
      <c r="C218" s="38"/>
      <c r="D218" s="64"/>
      <c r="E218" s="64"/>
      <c r="F218" s="64"/>
      <c r="G218" s="64"/>
      <c r="H218" s="64"/>
      <c r="I218" s="64"/>
      <c r="J218" s="65"/>
      <c r="K218" s="65"/>
      <c r="L218" s="65"/>
      <c r="M218" s="65"/>
      <c r="N218" s="65"/>
    </row>
    <row r="219" spans="1:14" x14ac:dyDescent="0.3">
      <c r="A219" s="1"/>
      <c r="B219" s="7" t="s">
        <v>188</v>
      </c>
      <c r="C219" s="75"/>
      <c r="D219" s="64"/>
      <c r="E219" s="64"/>
      <c r="F219" s="64"/>
      <c r="G219" s="64"/>
      <c r="H219" s="64"/>
      <c r="I219" s="64"/>
      <c r="J219" s="65">
        <f ca="1">MAX(J201-J210-J217, 0)</f>
        <v>0</v>
      </c>
      <c r="K219" s="65">
        <f ca="1">MAX(K201-K210-K217, 0)</f>
        <v>0</v>
      </c>
      <c r="L219" s="65">
        <f ca="1">MAX(L201-L210-L217, 0)</f>
        <v>0</v>
      </c>
      <c r="M219" s="65">
        <f ca="1">MAX(M201-M210-M217, 0)</f>
        <v>0</v>
      </c>
      <c r="N219" s="65">
        <f ca="1">MAX(N201-N210-N217, 0)</f>
        <v>0</v>
      </c>
    </row>
    <row r="220" spans="1:14" x14ac:dyDescent="0.3">
      <c r="A220" s="1"/>
      <c r="B220" s="6" t="s">
        <v>189</v>
      </c>
      <c r="C220" s="38"/>
      <c r="D220" s="66"/>
      <c r="E220" s="66"/>
      <c r="F220" s="66"/>
      <c r="G220" s="64"/>
      <c r="H220" s="64"/>
      <c r="I220" s="64"/>
      <c r="J220" s="67">
        <f ca="1">J210+J217+J219</f>
        <v>423.87558487774572</v>
      </c>
      <c r="K220" s="67">
        <f ca="1">K210+K217+K219</f>
        <v>302.05260412153041</v>
      </c>
      <c r="L220" s="67">
        <f ca="1">L210+L217+L219</f>
        <v>311.30925889357832</v>
      </c>
      <c r="M220" s="67">
        <f ca="1">M210+M217+M219</f>
        <v>314.31782070582449</v>
      </c>
      <c r="N220" s="67">
        <f ca="1">N210+N217+N219</f>
        <v>320.20040425450884</v>
      </c>
    </row>
    <row r="221" spans="1:14" x14ac:dyDescent="0.3">
      <c r="A221" s="1"/>
      <c r="B221" s="2"/>
      <c r="C221" s="38"/>
      <c r="D221" s="59"/>
      <c r="E221" s="59"/>
      <c r="F221" s="59"/>
      <c r="G221" s="59"/>
      <c r="H221" s="59"/>
      <c r="I221" s="59"/>
      <c r="J221" s="91"/>
      <c r="K221" s="91"/>
      <c r="L221" s="91"/>
      <c r="M221" s="91"/>
      <c r="N221" s="91"/>
    </row>
    <row r="222" spans="1:14" ht="19.95" customHeight="1" x14ac:dyDescent="0.3">
      <c r="A222" s="1"/>
      <c r="B222" s="19" t="s">
        <v>190</v>
      </c>
      <c r="C222" s="37"/>
      <c r="D222" s="89"/>
      <c r="E222" s="89"/>
      <c r="F222" s="89"/>
      <c r="G222" s="89"/>
      <c r="H222" s="89"/>
      <c r="I222" s="89"/>
      <c r="J222" s="122"/>
      <c r="K222" s="122"/>
      <c r="L222" s="122"/>
      <c r="M222" s="122"/>
      <c r="N222" s="122"/>
    </row>
    <row r="223" spans="1:14" x14ac:dyDescent="0.3">
      <c r="A223" s="1"/>
      <c r="B223" s="2"/>
      <c r="C223" s="90"/>
      <c r="D223" s="91"/>
      <c r="E223" s="91"/>
      <c r="F223" s="91"/>
      <c r="G223" s="91"/>
      <c r="H223" s="91"/>
      <c r="I223" s="91">
        <v>2014</v>
      </c>
      <c r="J223" s="91"/>
      <c r="K223" s="91"/>
      <c r="L223" s="91"/>
      <c r="M223" s="91"/>
      <c r="N223" s="91">
        <v>2019</v>
      </c>
    </row>
    <row r="224" spans="1:14" x14ac:dyDescent="0.3">
      <c r="A224" s="1"/>
      <c r="B224" s="2" t="s">
        <v>116</v>
      </c>
      <c r="C224" s="90"/>
      <c r="D224" s="65"/>
      <c r="E224" s="65"/>
      <c r="F224" s="65"/>
      <c r="G224" s="65"/>
      <c r="H224" s="65"/>
      <c r="I224" s="65">
        <f>F98</f>
        <v>521</v>
      </c>
      <c r="J224" s="65"/>
      <c r="K224" s="65"/>
      <c r="L224" s="65"/>
      <c r="M224" s="65"/>
      <c r="N224" s="111">
        <f>N98</f>
        <v>650.84584385695234</v>
      </c>
    </row>
    <row r="225" spans="1:14" x14ac:dyDescent="0.3">
      <c r="A225" s="1"/>
      <c r="B225" s="2" t="s">
        <v>191</v>
      </c>
      <c r="C225" s="90"/>
      <c r="D225" s="92"/>
      <c r="E225" s="92"/>
      <c r="F225" s="92"/>
      <c r="G225" s="92"/>
      <c r="H225" s="92"/>
      <c r="I225" s="110">
        <f>F11</f>
        <v>12.326538733205373</v>
      </c>
      <c r="J225" s="92"/>
      <c r="K225" s="92"/>
      <c r="L225" s="92"/>
      <c r="M225" s="92"/>
      <c r="N225" s="111">
        <f>I8</f>
        <v>12.5</v>
      </c>
    </row>
    <row r="226" spans="1:14" x14ac:dyDescent="0.3">
      <c r="A226" s="1"/>
      <c r="B226" s="2" t="s">
        <v>41</v>
      </c>
      <c r="C226" s="90"/>
      <c r="D226" s="65"/>
      <c r="E226" s="65"/>
      <c r="F226" s="65"/>
      <c r="G226" s="65"/>
      <c r="H226" s="65"/>
      <c r="I226" s="65">
        <f>I224*I225</f>
        <v>6422.1266799999994</v>
      </c>
      <c r="J226" s="65"/>
      <c r="K226" s="65"/>
      <c r="L226" s="65"/>
      <c r="M226" s="65"/>
      <c r="N226" s="111">
        <f>N224*N225</f>
        <v>8135.5730482119043</v>
      </c>
    </row>
    <row r="227" spans="1:14" x14ac:dyDescent="0.3">
      <c r="A227" s="1"/>
      <c r="B227" s="2" t="s">
        <v>60</v>
      </c>
      <c r="C227" s="90"/>
      <c r="D227" s="65"/>
      <c r="E227" s="65"/>
      <c r="F227" s="65"/>
      <c r="G227" s="65"/>
      <c r="H227" s="65"/>
      <c r="I227" s="65">
        <f>-C44</f>
        <v>-3045.7524032560009</v>
      </c>
      <c r="J227" s="65"/>
      <c r="K227" s="65"/>
      <c r="L227" s="65"/>
      <c r="M227" s="65"/>
      <c r="N227" s="65">
        <f ca="1">N226-N120-N126-N127-N128-N129+N104</f>
        <v>6098.5494961370941</v>
      </c>
    </row>
    <row r="228" spans="1:14" x14ac:dyDescent="0.3">
      <c r="A228" s="1"/>
      <c r="B228" s="6" t="s">
        <v>192</v>
      </c>
      <c r="C228" s="90"/>
      <c r="D228" s="93"/>
      <c r="E228" s="93"/>
      <c r="F228" s="93"/>
      <c r="G228" s="93"/>
      <c r="H228" s="93"/>
      <c r="I228" s="93">
        <f ca="1">IRR(I230:N230)</f>
        <v>0.14896392098919686</v>
      </c>
      <c r="J228" s="93"/>
      <c r="K228" s="93"/>
      <c r="L228" s="93"/>
      <c r="M228" s="93"/>
      <c r="N228" s="93"/>
    </row>
    <row r="229" spans="1:14" x14ac:dyDescent="0.3">
      <c r="A229" s="15"/>
      <c r="B229" s="15"/>
      <c r="C229" s="94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</row>
    <row r="230" spans="1:14" ht="14.55" customHeight="1" x14ac:dyDescent="0.3">
      <c r="A230" s="15"/>
      <c r="B230" s="112" t="s">
        <v>193</v>
      </c>
      <c r="C230" s="96"/>
      <c r="D230" s="97"/>
      <c r="E230" s="97"/>
      <c r="F230" s="97"/>
      <c r="G230" s="97"/>
      <c r="H230" s="97"/>
      <c r="I230" s="97">
        <f>-I139</f>
        <v>-3045.7524032560009</v>
      </c>
      <c r="J230" s="97">
        <f>J227</f>
        <v>0</v>
      </c>
      <c r="K230" s="97">
        <f>K227</f>
        <v>0</v>
      </c>
      <c r="L230" s="97">
        <f>L227</f>
        <v>0</v>
      </c>
      <c r="M230" s="97">
        <f>M227</f>
        <v>0</v>
      </c>
      <c r="N230" s="97">
        <f ca="1">N227</f>
        <v>6098.5494961370941</v>
      </c>
    </row>
  </sheetData>
  <mergeCells count="15">
    <mergeCell ref="D179:F179"/>
    <mergeCell ref="J179:N179"/>
    <mergeCell ref="D101:F101"/>
    <mergeCell ref="G101:I101"/>
    <mergeCell ref="J101:N101"/>
    <mergeCell ref="D148:F148"/>
    <mergeCell ref="G148:I148"/>
    <mergeCell ref="J148:N148"/>
    <mergeCell ref="B48:C48"/>
    <mergeCell ref="D64:F64"/>
    <mergeCell ref="G64:I64"/>
    <mergeCell ref="J64:N64"/>
    <mergeCell ref="D80:F80"/>
    <mergeCell ref="G80:I80"/>
    <mergeCell ref="J80:N8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53B8-486B-4C20-9BDA-322332092817}">
  <sheetPr>
    <tabColor rgb="FFFFC000"/>
  </sheetPr>
  <dimension ref="B2:L168"/>
  <sheetViews>
    <sheetView tabSelected="1" topLeftCell="C142" zoomScale="90" zoomScaleNormal="90" workbookViewId="0">
      <selection activeCell="C142" sqref="C142"/>
    </sheetView>
  </sheetViews>
  <sheetFormatPr defaultRowHeight="14.4" x14ac:dyDescent="0.3"/>
  <cols>
    <col min="1" max="1" width="3.33203125" customWidth="1"/>
    <col min="2" max="2" width="53.77734375" customWidth="1"/>
    <col min="3" max="3" width="40" customWidth="1"/>
    <col min="4" max="8" width="15.77734375" customWidth="1"/>
  </cols>
  <sheetData>
    <row r="2" spans="2:8" ht="18" x14ac:dyDescent="0.35">
      <c r="B2" s="154" t="s">
        <v>208</v>
      </c>
    </row>
    <row r="3" spans="2:8" x14ac:dyDescent="0.3">
      <c r="B3" s="155" t="s">
        <v>209</v>
      </c>
    </row>
    <row r="5" spans="2:8" x14ac:dyDescent="0.3">
      <c r="B5" s="134" t="s">
        <v>210</v>
      </c>
      <c r="C5" s="134"/>
      <c r="D5" s="134"/>
      <c r="E5" s="134"/>
      <c r="F5" s="134"/>
      <c r="G5" s="134"/>
      <c r="H5" s="134"/>
    </row>
    <row r="6" spans="2:8" x14ac:dyDescent="0.3">
      <c r="B6" t="s">
        <v>211</v>
      </c>
      <c r="C6" s="157" t="s">
        <v>212</v>
      </c>
    </row>
    <row r="7" spans="2:8" x14ac:dyDescent="0.3">
      <c r="B7" t="s">
        <v>213</v>
      </c>
      <c r="C7" s="156" t="s">
        <v>214</v>
      </c>
    </row>
    <row r="8" spans="2:8" x14ac:dyDescent="0.3">
      <c r="B8" t="s">
        <v>215</v>
      </c>
      <c r="C8" s="158">
        <v>46022</v>
      </c>
    </row>
    <row r="9" spans="2:8" x14ac:dyDescent="0.3">
      <c r="B9" t="s">
        <v>216</v>
      </c>
      <c r="C9" s="156" t="s">
        <v>217</v>
      </c>
    </row>
    <row r="10" spans="2:8" x14ac:dyDescent="0.3">
      <c r="B10" t="s">
        <v>218</v>
      </c>
      <c r="C10" s="156" t="s">
        <v>219</v>
      </c>
    </row>
    <row r="11" spans="2:8" x14ac:dyDescent="0.3">
      <c r="B11" t="s">
        <v>220</v>
      </c>
      <c r="C11" s="156" t="s">
        <v>221</v>
      </c>
    </row>
    <row r="12" spans="2:8" x14ac:dyDescent="0.3">
      <c r="B12" t="s">
        <v>222</v>
      </c>
      <c r="C12" s="156" t="s">
        <v>223</v>
      </c>
    </row>
    <row r="13" spans="2:8" x14ac:dyDescent="0.3">
      <c r="B13" t="s">
        <v>224</v>
      </c>
      <c r="C13" s="156" t="s">
        <v>225</v>
      </c>
    </row>
    <row r="14" spans="2:8" x14ac:dyDescent="0.3">
      <c r="B14" t="s">
        <v>226</v>
      </c>
      <c r="C14" s="156" t="s">
        <v>227</v>
      </c>
    </row>
    <row r="17" spans="2:8" x14ac:dyDescent="0.3">
      <c r="B17" s="134" t="s">
        <v>228</v>
      </c>
      <c r="C17" s="134"/>
      <c r="D17" s="134"/>
      <c r="E17" s="134"/>
      <c r="F17" s="134"/>
      <c r="G17" s="134"/>
      <c r="H17" s="134"/>
    </row>
    <row r="18" spans="2:8" x14ac:dyDescent="0.3">
      <c r="D18" s="159" t="s">
        <v>229</v>
      </c>
      <c r="E18" s="159" t="s">
        <v>230</v>
      </c>
      <c r="F18" s="159" t="s">
        <v>231</v>
      </c>
    </row>
    <row r="19" spans="2:8" x14ac:dyDescent="0.3">
      <c r="B19" t="s">
        <v>232</v>
      </c>
      <c r="D19" s="160">
        <v>7</v>
      </c>
      <c r="E19" s="160">
        <v>8</v>
      </c>
      <c r="F19" s="160">
        <v>9</v>
      </c>
    </row>
    <row r="20" spans="2:8" x14ac:dyDescent="0.3">
      <c r="B20" t="s">
        <v>102</v>
      </c>
      <c r="D20" s="161">
        <v>8400</v>
      </c>
      <c r="E20" s="161">
        <v>9750</v>
      </c>
      <c r="F20" s="161">
        <v>11000</v>
      </c>
    </row>
    <row r="21" spans="2:8" x14ac:dyDescent="0.3">
      <c r="B21" t="s">
        <v>233</v>
      </c>
      <c r="D21" s="198">
        <f>D20/D19</f>
        <v>1200</v>
      </c>
      <c r="E21" s="198">
        <f t="shared" ref="E21:F21" si="0">E20/E19</f>
        <v>1218.75</v>
      </c>
      <c r="F21" s="198">
        <f t="shared" si="0"/>
        <v>1222.2222222222222</v>
      </c>
    </row>
    <row r="22" spans="2:8" x14ac:dyDescent="0.3">
      <c r="B22" t="s">
        <v>234</v>
      </c>
      <c r="C22" s="162" t="s">
        <v>235</v>
      </c>
      <c r="D22" s="198">
        <f>D20*D23</f>
        <v>2352</v>
      </c>
      <c r="E22" s="198">
        <f t="shared" ref="E22:F22" si="1">E20*E23</f>
        <v>2730.0000000000005</v>
      </c>
      <c r="F22" s="198">
        <f t="shared" si="1"/>
        <v>3080.0000000000005</v>
      </c>
    </row>
    <row r="23" spans="2:8" x14ac:dyDescent="0.3">
      <c r="B23" s="162" t="s">
        <v>236</v>
      </c>
      <c r="D23" s="199">
        <v>0.28000000000000003</v>
      </c>
      <c r="E23" s="199">
        <v>0.28000000000000003</v>
      </c>
      <c r="F23" s="199">
        <v>0.28000000000000003</v>
      </c>
    </row>
    <row r="24" spans="2:8" x14ac:dyDescent="0.3">
      <c r="B24" s="139" t="s">
        <v>237</v>
      </c>
      <c r="D24" s="189">
        <f>D20-D22</f>
        <v>6048</v>
      </c>
      <c r="E24" s="189">
        <f t="shared" ref="E24:F24" si="2">E20-E22</f>
        <v>7020</v>
      </c>
      <c r="F24" s="189">
        <f t="shared" si="2"/>
        <v>7920</v>
      </c>
    </row>
    <row r="25" spans="2:8" x14ac:dyDescent="0.3">
      <c r="B25" t="s">
        <v>238</v>
      </c>
      <c r="D25" s="198">
        <f>D20*D26</f>
        <v>2520</v>
      </c>
      <c r="E25" s="198">
        <f t="shared" ref="E25:F25" si="3">E20*E26</f>
        <v>2925</v>
      </c>
      <c r="F25" s="198">
        <f t="shared" si="3"/>
        <v>3300</v>
      </c>
    </row>
    <row r="26" spans="2:8" x14ac:dyDescent="0.3">
      <c r="B26" s="162" t="s">
        <v>239</v>
      </c>
      <c r="D26" s="199">
        <v>0.3</v>
      </c>
      <c r="E26" s="199">
        <v>0.3</v>
      </c>
      <c r="F26" s="199">
        <v>0.3</v>
      </c>
    </row>
    <row r="27" spans="2:8" x14ac:dyDescent="0.3">
      <c r="B27" t="s">
        <v>240</v>
      </c>
      <c r="D27" s="198">
        <f>D20*D28</f>
        <v>1008</v>
      </c>
      <c r="E27" s="198">
        <f t="shared" ref="E27:F27" si="4">E20*E28</f>
        <v>1170</v>
      </c>
      <c r="F27" s="198">
        <f t="shared" si="4"/>
        <v>1320</v>
      </c>
    </row>
    <row r="28" spans="2:8" x14ac:dyDescent="0.3">
      <c r="B28" s="162" t="s">
        <v>241</v>
      </c>
      <c r="D28" s="199">
        <v>0.12</v>
      </c>
      <c r="E28" s="199">
        <v>0.12</v>
      </c>
      <c r="F28" s="199">
        <v>0.12</v>
      </c>
    </row>
    <row r="29" spans="2:8" x14ac:dyDescent="0.3">
      <c r="B29" t="s">
        <v>242</v>
      </c>
      <c r="D29" s="198">
        <f>D20*D30</f>
        <v>672</v>
      </c>
      <c r="E29" s="198">
        <f t="shared" ref="E29:F29" si="5">E20*E30</f>
        <v>780</v>
      </c>
      <c r="F29" s="198">
        <f t="shared" si="5"/>
        <v>880</v>
      </c>
    </row>
    <row r="30" spans="2:8" x14ac:dyDescent="0.3">
      <c r="B30" s="162" t="s">
        <v>243</v>
      </c>
      <c r="D30" s="199">
        <v>0.08</v>
      </c>
      <c r="E30" s="199">
        <v>0.08</v>
      </c>
      <c r="F30" s="199">
        <v>0.08</v>
      </c>
    </row>
    <row r="31" spans="2:8" x14ac:dyDescent="0.3">
      <c r="B31" t="s">
        <v>244</v>
      </c>
      <c r="C31" s="162" t="s">
        <v>245</v>
      </c>
      <c r="D31" s="200">
        <v>-1150</v>
      </c>
      <c r="E31" s="200">
        <v>-1240</v>
      </c>
      <c r="F31" s="200">
        <v>-1420</v>
      </c>
    </row>
    <row r="32" spans="2:8" x14ac:dyDescent="0.3">
      <c r="B32" s="163" t="s">
        <v>246</v>
      </c>
      <c r="D32" s="189">
        <f>D24-D25-D27-D29+D31</f>
        <v>698</v>
      </c>
      <c r="E32" s="189">
        <f t="shared" ref="E32:F32" si="6">E24-E25-E27-E29+E31</f>
        <v>905</v>
      </c>
      <c r="F32" s="189">
        <f t="shared" si="6"/>
        <v>1000</v>
      </c>
    </row>
    <row r="33" spans="2:8" x14ac:dyDescent="0.3">
      <c r="B33" s="162" t="s">
        <v>247</v>
      </c>
      <c r="D33" s="201">
        <f>D32/D20</f>
        <v>8.3095238095238097E-2</v>
      </c>
      <c r="E33" s="201">
        <f t="shared" ref="E33:F33" si="7">E32/E20</f>
        <v>9.2820512820512818E-2</v>
      </c>
      <c r="F33" s="201">
        <f t="shared" si="7"/>
        <v>9.0909090909090912E-2</v>
      </c>
    </row>
    <row r="36" spans="2:8" x14ac:dyDescent="0.3">
      <c r="B36" s="134" t="s">
        <v>248</v>
      </c>
      <c r="C36" s="134"/>
      <c r="D36" s="134"/>
      <c r="E36" s="134"/>
      <c r="F36" s="134"/>
      <c r="G36" s="134"/>
      <c r="H36" s="134"/>
    </row>
    <row r="37" spans="2:8" x14ac:dyDescent="0.3">
      <c r="C37" s="163" t="s">
        <v>249</v>
      </c>
      <c r="D37" s="159" t="s">
        <v>229</v>
      </c>
      <c r="E37" s="159" t="s">
        <v>230</v>
      </c>
      <c r="F37" s="159" t="s">
        <v>231</v>
      </c>
    </row>
    <row r="38" spans="2:8" x14ac:dyDescent="0.3">
      <c r="B38" s="139" t="s">
        <v>246</v>
      </c>
      <c r="D38" s="189">
        <f>D32</f>
        <v>698</v>
      </c>
      <c r="E38" s="189">
        <f t="shared" ref="E38:F38" si="8">E32</f>
        <v>905</v>
      </c>
      <c r="F38" s="189">
        <f t="shared" si="8"/>
        <v>1000</v>
      </c>
    </row>
    <row r="39" spans="2:8" x14ac:dyDescent="0.3">
      <c r="B39" t="s">
        <v>250</v>
      </c>
      <c r="C39" s="162" t="s">
        <v>251</v>
      </c>
      <c r="D39" s="200">
        <v>250</v>
      </c>
      <c r="E39" s="200">
        <v>275</v>
      </c>
      <c r="F39" s="200">
        <v>300</v>
      </c>
    </row>
    <row r="40" spans="2:8" x14ac:dyDescent="0.3">
      <c r="B40" t="s">
        <v>252</v>
      </c>
      <c r="C40" s="162" t="s">
        <v>253</v>
      </c>
      <c r="D40" s="200">
        <v>75</v>
      </c>
      <c r="E40" s="200">
        <v>80</v>
      </c>
      <c r="F40" s="200">
        <v>85</v>
      </c>
    </row>
    <row r="41" spans="2:8" x14ac:dyDescent="0.3">
      <c r="B41" t="s">
        <v>254</v>
      </c>
      <c r="C41" s="162" t="s">
        <v>255</v>
      </c>
      <c r="D41" s="200">
        <v>50</v>
      </c>
      <c r="E41" s="200">
        <v>55</v>
      </c>
      <c r="F41" s="200">
        <v>60</v>
      </c>
    </row>
    <row r="42" spans="2:8" x14ac:dyDescent="0.3">
      <c r="B42" t="s">
        <v>256</v>
      </c>
      <c r="C42" s="162" t="s">
        <v>257</v>
      </c>
      <c r="D42" s="200">
        <v>55</v>
      </c>
      <c r="E42" s="200">
        <v>58</v>
      </c>
      <c r="F42" s="200">
        <v>60</v>
      </c>
    </row>
    <row r="43" spans="2:8" x14ac:dyDescent="0.3">
      <c r="B43" t="s">
        <v>258</v>
      </c>
      <c r="C43" s="162" t="s">
        <v>259</v>
      </c>
      <c r="D43" s="200">
        <v>0</v>
      </c>
      <c r="E43" s="200">
        <v>0</v>
      </c>
      <c r="F43" s="200">
        <v>75</v>
      </c>
    </row>
    <row r="44" spans="2:8" x14ac:dyDescent="0.3">
      <c r="B44" t="s">
        <v>260</v>
      </c>
      <c r="C44" s="162" t="s">
        <v>261</v>
      </c>
      <c r="D44" s="200">
        <v>0</v>
      </c>
      <c r="E44" s="200">
        <v>40</v>
      </c>
      <c r="F44" s="200">
        <v>45</v>
      </c>
    </row>
    <row r="45" spans="2:8" x14ac:dyDescent="0.3">
      <c r="B45" t="s">
        <v>262</v>
      </c>
      <c r="C45" s="162" t="s">
        <v>263</v>
      </c>
      <c r="D45" s="200">
        <v>-95</v>
      </c>
      <c r="E45" s="200">
        <v>-60</v>
      </c>
      <c r="F45" s="200">
        <v>-40</v>
      </c>
    </row>
    <row r="46" spans="2:8" x14ac:dyDescent="0.3">
      <c r="B46" s="139" t="s">
        <v>264</v>
      </c>
      <c r="D46" s="189">
        <f>SUM(D38:D45)</f>
        <v>1033</v>
      </c>
      <c r="E46" s="189">
        <f t="shared" ref="E46:F46" si="9">SUM(E38:E45)</f>
        <v>1353</v>
      </c>
      <c r="F46" s="189">
        <f t="shared" si="9"/>
        <v>1585</v>
      </c>
    </row>
    <row r="47" spans="2:8" x14ac:dyDescent="0.3">
      <c r="B47" s="162" t="s">
        <v>265</v>
      </c>
      <c r="D47" s="201">
        <f>D46/D20</f>
        <v>0.12297619047619048</v>
      </c>
      <c r="E47" s="201">
        <f t="shared" ref="E47:F47" si="10">E46/E20</f>
        <v>0.13876923076923076</v>
      </c>
      <c r="F47" s="201">
        <f t="shared" si="10"/>
        <v>0.1440909090909091</v>
      </c>
    </row>
    <row r="48" spans="2:8" ht="32.4" customHeight="1" x14ac:dyDescent="0.3">
      <c r="B48" s="172" t="s">
        <v>384</v>
      </c>
    </row>
    <row r="50" spans="2:8" x14ac:dyDescent="0.3">
      <c r="B50" s="134" t="s">
        <v>266</v>
      </c>
      <c r="C50" s="134"/>
      <c r="D50" s="134"/>
      <c r="E50" s="134"/>
      <c r="F50" s="134"/>
      <c r="G50" s="134"/>
      <c r="H50" s="134"/>
    </row>
    <row r="51" spans="2:8" x14ac:dyDescent="0.3">
      <c r="C51" s="164" t="s">
        <v>267</v>
      </c>
    </row>
    <row r="52" spans="2:8" x14ac:dyDescent="0.3">
      <c r="B52" t="s">
        <v>268</v>
      </c>
      <c r="C52" s="202">
        <v>0.2</v>
      </c>
      <c r="D52" s="198">
        <f>C52*D46</f>
        <v>206.60000000000002</v>
      </c>
    </row>
    <row r="53" spans="2:8" x14ac:dyDescent="0.3">
      <c r="B53" t="s">
        <v>269</v>
      </c>
      <c r="C53" s="202">
        <v>0.3</v>
      </c>
      <c r="D53" s="198">
        <f>C53*E46</f>
        <v>405.9</v>
      </c>
    </row>
    <row r="54" spans="2:8" x14ac:dyDescent="0.3">
      <c r="B54" t="s">
        <v>270</v>
      </c>
      <c r="C54" s="202">
        <v>0.5</v>
      </c>
      <c r="D54" s="198">
        <f>C54*F46</f>
        <v>792.5</v>
      </c>
    </row>
    <row r="55" spans="2:8" x14ac:dyDescent="0.3">
      <c r="B55" t="s">
        <v>271</v>
      </c>
      <c r="C55" s="203">
        <f>SUM(C52:C54)</f>
        <v>1</v>
      </c>
      <c r="D55" s="188"/>
    </row>
    <row r="56" spans="2:8" x14ac:dyDescent="0.3">
      <c r="B56" s="139" t="s">
        <v>272</v>
      </c>
      <c r="C56" s="188"/>
      <c r="D56" s="189">
        <f>SUM(D52:D54)</f>
        <v>1405</v>
      </c>
    </row>
    <row r="57" spans="2:8" x14ac:dyDescent="0.3">
      <c r="B57" s="162" t="s">
        <v>273</v>
      </c>
      <c r="C57" s="162" t="s">
        <v>274</v>
      </c>
    </row>
    <row r="60" spans="2:8" x14ac:dyDescent="0.3">
      <c r="B60" s="134" t="s">
        <v>275</v>
      </c>
      <c r="C60" s="134"/>
      <c r="D60" s="134"/>
      <c r="E60" s="134"/>
      <c r="F60" s="134"/>
      <c r="G60" s="134"/>
      <c r="H60" s="134"/>
    </row>
    <row r="61" spans="2:8" x14ac:dyDescent="0.3">
      <c r="C61" s="163" t="s">
        <v>276</v>
      </c>
    </row>
    <row r="62" spans="2:8" x14ac:dyDescent="0.3">
      <c r="B62" t="s">
        <v>277</v>
      </c>
      <c r="C62" s="162" t="s">
        <v>278</v>
      </c>
      <c r="D62" s="166">
        <v>3.2500000000000001E-2</v>
      </c>
    </row>
    <row r="63" spans="2:8" x14ac:dyDescent="0.3">
      <c r="B63" t="s">
        <v>279</v>
      </c>
      <c r="C63" s="162" t="s">
        <v>280</v>
      </c>
      <c r="D63" s="166">
        <v>5.5E-2</v>
      </c>
    </row>
    <row r="64" spans="2:8" x14ac:dyDescent="0.3">
      <c r="B64" t="s">
        <v>281</v>
      </c>
      <c r="C64" s="162" t="s">
        <v>282</v>
      </c>
      <c r="D64" s="166">
        <v>0.05</v>
      </c>
    </row>
    <row r="65" spans="2:4" x14ac:dyDescent="0.3">
      <c r="B65" t="s">
        <v>283</v>
      </c>
      <c r="C65" s="162" t="s">
        <v>284</v>
      </c>
      <c r="D65" s="166">
        <v>0.01</v>
      </c>
    </row>
    <row r="66" spans="2:4" x14ac:dyDescent="0.3">
      <c r="B66" s="139" t="s">
        <v>285</v>
      </c>
      <c r="D66" s="206">
        <f>SUM(D62:D65)</f>
        <v>0.14750000000000002</v>
      </c>
    </row>
    <row r="68" spans="2:4" x14ac:dyDescent="0.3">
      <c r="B68" s="167" t="s">
        <v>286</v>
      </c>
    </row>
    <row r="69" spans="2:4" x14ac:dyDescent="0.3">
      <c r="B69" t="s">
        <v>287</v>
      </c>
      <c r="C69" s="162" t="s">
        <v>288</v>
      </c>
      <c r="D69" s="166">
        <v>1.4999999999999999E-2</v>
      </c>
    </row>
    <row r="70" spans="2:4" x14ac:dyDescent="0.3">
      <c r="B70" t="s">
        <v>289</v>
      </c>
      <c r="C70" s="162" t="s">
        <v>290</v>
      </c>
      <c r="D70" s="166">
        <v>0.02</v>
      </c>
    </row>
    <row r="71" spans="2:4" x14ac:dyDescent="0.3">
      <c r="B71" t="s">
        <v>291</v>
      </c>
      <c r="C71" s="162" t="s">
        <v>292</v>
      </c>
      <c r="D71" s="166">
        <v>0.01</v>
      </c>
    </row>
    <row r="72" spans="2:4" x14ac:dyDescent="0.3">
      <c r="B72" t="s">
        <v>293</v>
      </c>
      <c r="C72" s="162" t="s">
        <v>294</v>
      </c>
      <c r="D72" s="166">
        <v>0.01</v>
      </c>
    </row>
    <row r="73" spans="2:4" x14ac:dyDescent="0.3">
      <c r="B73" s="139" t="s">
        <v>295</v>
      </c>
      <c r="D73" s="206">
        <f>SUM(D69:D72)</f>
        <v>5.5000000000000007E-2</v>
      </c>
    </row>
    <row r="74" spans="2:4" x14ac:dyDescent="0.3">
      <c r="B74" s="139" t="s">
        <v>296</v>
      </c>
      <c r="D74" s="206">
        <f>D66+D73</f>
        <v>0.20250000000000001</v>
      </c>
    </row>
    <row r="76" spans="2:4" x14ac:dyDescent="0.3">
      <c r="B76" s="167" t="s">
        <v>297</v>
      </c>
    </row>
    <row r="77" spans="2:4" x14ac:dyDescent="0.3">
      <c r="B77" t="s">
        <v>298</v>
      </c>
      <c r="C77" s="162" t="s">
        <v>299</v>
      </c>
      <c r="D77" s="166">
        <v>7.4999999999999997E-2</v>
      </c>
    </row>
    <row r="78" spans="2:4" x14ac:dyDescent="0.3">
      <c r="B78" t="s">
        <v>300</v>
      </c>
      <c r="C78" s="162" t="s">
        <v>301</v>
      </c>
      <c r="D78" s="168">
        <v>0.27</v>
      </c>
    </row>
    <row r="79" spans="2:4" x14ac:dyDescent="0.3">
      <c r="B79" t="s">
        <v>302</v>
      </c>
      <c r="D79" s="205">
        <f>D77*(1-D78)</f>
        <v>5.475E-2</v>
      </c>
    </row>
    <row r="80" spans="2:4" x14ac:dyDescent="0.3">
      <c r="B80" t="s">
        <v>303</v>
      </c>
      <c r="C80" s="162" t="s">
        <v>304</v>
      </c>
      <c r="D80" s="165">
        <v>0.25</v>
      </c>
    </row>
    <row r="81" spans="2:8" x14ac:dyDescent="0.3">
      <c r="B81" t="s">
        <v>305</v>
      </c>
      <c r="D81" s="207">
        <f>1-D80</f>
        <v>0.75</v>
      </c>
    </row>
    <row r="82" spans="2:8" x14ac:dyDescent="0.3">
      <c r="B82" s="139" t="s">
        <v>306</v>
      </c>
      <c r="D82" s="206">
        <f>D74*D81+D79*D80</f>
        <v>0.1655625</v>
      </c>
    </row>
    <row r="84" spans="2:8" x14ac:dyDescent="0.3">
      <c r="B84" s="167" t="s">
        <v>307</v>
      </c>
      <c r="C84" s="162" t="s">
        <v>308</v>
      </c>
    </row>
    <row r="85" spans="2:8" x14ac:dyDescent="0.3">
      <c r="B85" t="s">
        <v>309</v>
      </c>
      <c r="C85" s="162" t="s">
        <v>310</v>
      </c>
      <c r="D85" s="169">
        <v>0.95</v>
      </c>
    </row>
    <row r="86" spans="2:8" x14ac:dyDescent="0.3">
      <c r="B86" t="s">
        <v>311</v>
      </c>
      <c r="D86" s="169">
        <v>0.45</v>
      </c>
    </row>
    <row r="87" spans="2:8" x14ac:dyDescent="0.3">
      <c r="B87" t="s">
        <v>312</v>
      </c>
      <c r="C87" s="162" t="s">
        <v>313</v>
      </c>
      <c r="D87" s="204">
        <f>D85/(1+(1-D78)*D86)</f>
        <v>0.71509220925856221</v>
      </c>
    </row>
    <row r="88" spans="2:8" x14ac:dyDescent="0.3">
      <c r="B88" t="s">
        <v>314</v>
      </c>
      <c r="C88" s="197"/>
      <c r="D88" s="204">
        <f>D87*(1+(1-D78)*(D80/D81))</f>
        <v>0.88909798017814567</v>
      </c>
    </row>
    <row r="89" spans="2:8" x14ac:dyDescent="0.3">
      <c r="B89" t="s">
        <v>315</v>
      </c>
      <c r="D89" s="205">
        <f>D62+D88*D63</f>
        <v>8.1400388909798005E-2</v>
      </c>
    </row>
    <row r="90" spans="2:8" x14ac:dyDescent="0.3">
      <c r="B90" t="s">
        <v>316</v>
      </c>
      <c r="D90" s="205">
        <f>D64+D73</f>
        <v>0.10500000000000001</v>
      </c>
    </row>
    <row r="91" spans="2:8" x14ac:dyDescent="0.3">
      <c r="B91" s="139" t="s">
        <v>317</v>
      </c>
      <c r="D91" s="206">
        <f>D89+D90</f>
        <v>0.18640038890979801</v>
      </c>
    </row>
    <row r="92" spans="2:8" x14ac:dyDescent="0.3">
      <c r="B92" t="s">
        <v>318</v>
      </c>
      <c r="D92" s="205">
        <f>D91-D74</f>
        <v>-1.6099611090201998E-2</v>
      </c>
    </row>
    <row r="95" spans="2:8" x14ac:dyDescent="0.3">
      <c r="B95" s="134" t="s">
        <v>319</v>
      </c>
      <c r="C95" s="134"/>
      <c r="D95" s="134"/>
      <c r="E95" s="134"/>
      <c r="F95" s="134"/>
      <c r="G95" s="134"/>
      <c r="H95" s="134"/>
    </row>
    <row r="96" spans="2:8" x14ac:dyDescent="0.3">
      <c r="B96" s="163" t="s">
        <v>320</v>
      </c>
      <c r="C96" s="162" t="s">
        <v>321</v>
      </c>
    </row>
    <row r="98" spans="2:8" x14ac:dyDescent="0.3">
      <c r="B98" t="s">
        <v>272</v>
      </c>
      <c r="D98" s="208">
        <f>D56</f>
        <v>1405</v>
      </c>
    </row>
    <row r="99" spans="2:8" x14ac:dyDescent="0.3">
      <c r="B99" t="s">
        <v>322</v>
      </c>
      <c r="C99" s="216"/>
      <c r="D99" s="208">
        <f>-D100*F20</f>
        <v>-275</v>
      </c>
    </row>
    <row r="100" spans="2:8" x14ac:dyDescent="0.3">
      <c r="B100" s="162" t="s">
        <v>323</v>
      </c>
      <c r="D100" s="209">
        <v>2.5000000000000001E-2</v>
      </c>
    </row>
    <row r="101" spans="2:8" x14ac:dyDescent="0.3">
      <c r="B101" s="139" t="s">
        <v>324</v>
      </c>
      <c r="D101" s="210">
        <f>SUM(D98:D99)</f>
        <v>1130</v>
      </c>
    </row>
    <row r="102" spans="2:8" x14ac:dyDescent="0.3">
      <c r="B102" t="s">
        <v>325</v>
      </c>
      <c r="C102" s="162" t="s">
        <v>326</v>
      </c>
      <c r="D102" s="208">
        <f>-(D101*D78)</f>
        <v>-305.10000000000002</v>
      </c>
    </row>
    <row r="103" spans="2:8" x14ac:dyDescent="0.3">
      <c r="B103" s="139" t="s">
        <v>327</v>
      </c>
      <c r="D103" s="210">
        <f>SUM(D101:D102)</f>
        <v>824.9</v>
      </c>
    </row>
    <row r="104" spans="2:8" x14ac:dyDescent="0.3">
      <c r="D104" s="211"/>
      <c r="F104" s="188"/>
    </row>
    <row r="105" spans="2:8" x14ac:dyDescent="0.3">
      <c r="B105" t="s">
        <v>328</v>
      </c>
      <c r="C105" s="162" t="s">
        <v>329</v>
      </c>
      <c r="D105" s="212">
        <v>2.5000000000000001E-2</v>
      </c>
    </row>
    <row r="106" spans="2:8" x14ac:dyDescent="0.3">
      <c r="B106" t="s">
        <v>330</v>
      </c>
      <c r="C106" s="162" t="s">
        <v>331</v>
      </c>
      <c r="D106" s="213">
        <f>D82-D105</f>
        <v>0.14056250000000001</v>
      </c>
    </row>
    <row r="107" spans="2:8" x14ac:dyDescent="0.3">
      <c r="B107" s="139" t="s">
        <v>332</v>
      </c>
      <c r="D107" s="214">
        <f>D103/D106</f>
        <v>5868.5638061360596</v>
      </c>
    </row>
    <row r="108" spans="2:8" x14ac:dyDescent="0.3">
      <c r="B108" s="162" t="s">
        <v>333</v>
      </c>
      <c r="D108" s="215">
        <f>D107/D98</f>
        <v>4.1769137410221067</v>
      </c>
    </row>
    <row r="111" spans="2:8" x14ac:dyDescent="0.3">
      <c r="B111" s="134" t="s">
        <v>334</v>
      </c>
      <c r="C111" s="134"/>
      <c r="D111" s="134"/>
      <c r="E111" s="134"/>
      <c r="F111" s="134"/>
      <c r="G111" s="134"/>
      <c r="H111" s="134"/>
    </row>
    <row r="112" spans="2:8" x14ac:dyDescent="0.3">
      <c r="B112" t="s">
        <v>335</v>
      </c>
      <c r="D112" s="217">
        <f>D107</f>
        <v>5868.5638061360596</v>
      </c>
    </row>
    <row r="113" spans="2:4" x14ac:dyDescent="0.3">
      <c r="D113" s="173"/>
    </row>
    <row r="114" spans="2:4" x14ac:dyDescent="0.3">
      <c r="B114" s="167" t="s">
        <v>336</v>
      </c>
      <c r="D114" s="173"/>
    </row>
    <row r="115" spans="2:4" x14ac:dyDescent="0.3">
      <c r="B115" t="s">
        <v>337</v>
      </c>
      <c r="C115" s="162" t="s">
        <v>338</v>
      </c>
      <c r="D115" s="174">
        <v>400</v>
      </c>
    </row>
    <row r="116" spans="2:4" x14ac:dyDescent="0.3">
      <c r="B116" t="s">
        <v>339</v>
      </c>
      <c r="C116" s="162" t="s">
        <v>340</v>
      </c>
      <c r="D116" s="174">
        <v>120</v>
      </c>
    </row>
    <row r="117" spans="2:4" x14ac:dyDescent="0.3">
      <c r="B117" t="s">
        <v>341</v>
      </c>
      <c r="D117" s="174">
        <v>0</v>
      </c>
    </row>
    <row r="118" spans="2:4" x14ac:dyDescent="0.3">
      <c r="D118" s="175"/>
    </row>
    <row r="119" spans="2:4" x14ac:dyDescent="0.3">
      <c r="B119" s="167" t="s">
        <v>342</v>
      </c>
      <c r="D119" s="175"/>
    </row>
    <row r="120" spans="2:4" x14ac:dyDescent="0.3">
      <c r="B120" t="s">
        <v>343</v>
      </c>
      <c r="D120" s="174">
        <v>-1150</v>
      </c>
    </row>
    <row r="121" spans="2:4" x14ac:dyDescent="0.3">
      <c r="B121" t="s">
        <v>344</v>
      </c>
      <c r="D121" s="174">
        <v>-280</v>
      </c>
    </row>
    <row r="122" spans="2:4" x14ac:dyDescent="0.3">
      <c r="B122" t="s">
        <v>345</v>
      </c>
      <c r="C122" s="162" t="s">
        <v>346</v>
      </c>
      <c r="D122" s="174">
        <v>-350</v>
      </c>
    </row>
    <row r="123" spans="2:4" x14ac:dyDescent="0.3">
      <c r="D123" s="175"/>
    </row>
    <row r="124" spans="2:4" x14ac:dyDescent="0.3">
      <c r="B124" s="167" t="s">
        <v>347</v>
      </c>
      <c r="D124" s="175"/>
    </row>
    <row r="125" spans="2:4" x14ac:dyDescent="0.3">
      <c r="B125" t="s">
        <v>348</v>
      </c>
      <c r="D125" s="174">
        <v>-310</v>
      </c>
    </row>
    <row r="126" spans="2:4" x14ac:dyDescent="0.3">
      <c r="B126" t="s">
        <v>349</v>
      </c>
      <c r="C126" s="162" t="s">
        <v>350</v>
      </c>
      <c r="D126" s="174">
        <v>-160</v>
      </c>
    </row>
    <row r="127" spans="2:4" x14ac:dyDescent="0.3">
      <c r="B127" t="s">
        <v>351</v>
      </c>
      <c r="D127" s="217">
        <f>D125-D126</f>
        <v>-150</v>
      </c>
    </row>
    <row r="128" spans="2:4" x14ac:dyDescent="0.3">
      <c r="D128" s="175"/>
    </row>
    <row r="129" spans="2:12" x14ac:dyDescent="0.3">
      <c r="B129" s="139" t="s">
        <v>352</v>
      </c>
      <c r="D129" s="218">
        <f>D112+SUM(D115:D117)+SUM(D120:D122)+D127</f>
        <v>4458.5638061360596</v>
      </c>
    </row>
    <row r="132" spans="2:12" x14ac:dyDescent="0.3">
      <c r="B132" s="134" t="s">
        <v>353</v>
      </c>
      <c r="C132" s="134"/>
      <c r="D132" s="134"/>
      <c r="E132" s="134"/>
      <c r="F132" s="134"/>
      <c r="G132" s="134"/>
      <c r="H132" s="134"/>
    </row>
    <row r="133" spans="2:12" x14ac:dyDescent="0.3">
      <c r="D133" s="159" t="s">
        <v>354</v>
      </c>
      <c r="E133" s="159" t="s">
        <v>355</v>
      </c>
    </row>
    <row r="134" spans="2:12" x14ac:dyDescent="0.3">
      <c r="B134" t="s">
        <v>356</v>
      </c>
      <c r="C134" s="162" t="s">
        <v>357</v>
      </c>
      <c r="D134" s="138">
        <v>3.5</v>
      </c>
      <c r="E134" s="138">
        <v>5</v>
      </c>
    </row>
    <row r="135" spans="2:12" x14ac:dyDescent="0.3">
      <c r="B135" t="s">
        <v>358</v>
      </c>
      <c r="D135" s="195">
        <f>D134*$D$98</f>
        <v>4917.5</v>
      </c>
      <c r="E135" s="195">
        <f>E134*$D$98</f>
        <v>7025</v>
      </c>
    </row>
    <row r="137" spans="2:12" x14ac:dyDescent="0.3">
      <c r="B137" t="s">
        <v>359</v>
      </c>
      <c r="C137" s="162" t="s">
        <v>360</v>
      </c>
      <c r="D137" s="138">
        <v>10</v>
      </c>
      <c r="E137" s="138">
        <v>13</v>
      </c>
    </row>
    <row r="138" spans="2:12" x14ac:dyDescent="0.3">
      <c r="B138" t="s">
        <v>361</v>
      </c>
      <c r="C138" s="162" t="s">
        <v>362</v>
      </c>
      <c r="D138" s="165">
        <v>-0.6</v>
      </c>
      <c r="E138" s="165">
        <v>-0.55000000000000004</v>
      </c>
    </row>
    <row r="139" spans="2:12" x14ac:dyDescent="0.3">
      <c r="B139" t="s">
        <v>363</v>
      </c>
      <c r="D139" s="196">
        <f>D137*(1+D138)</f>
        <v>4</v>
      </c>
      <c r="E139" s="196">
        <f>E137*(1+E138)</f>
        <v>5.85</v>
      </c>
    </row>
    <row r="141" spans="2:12" x14ac:dyDescent="0.3">
      <c r="B141" s="139" t="s">
        <v>364</v>
      </c>
      <c r="D141" s="219">
        <f>D108</f>
        <v>4.1769137410221067</v>
      </c>
    </row>
    <row r="142" spans="2:12" ht="111" customHeight="1" x14ac:dyDescent="0.3">
      <c r="B142" s="222" t="s">
        <v>365</v>
      </c>
      <c r="C142" s="223" t="s">
        <v>385</v>
      </c>
      <c r="D142" s="221"/>
      <c r="E142" s="221"/>
      <c r="F142" s="221"/>
      <c r="G142" s="221"/>
      <c r="H142" s="220"/>
      <c r="I142" s="173"/>
      <c r="J142" s="173"/>
      <c r="K142" s="173"/>
      <c r="L142" s="173"/>
    </row>
    <row r="145" spans="2:8" x14ac:dyDescent="0.3">
      <c r="B145" s="134" t="s">
        <v>366</v>
      </c>
      <c r="C145" s="190"/>
      <c r="D145" s="190"/>
      <c r="E145" s="190"/>
      <c r="F145" s="134"/>
      <c r="G145" s="134"/>
      <c r="H145" s="134"/>
    </row>
    <row r="146" spans="2:8" x14ac:dyDescent="0.3">
      <c r="B146" t="s">
        <v>367</v>
      </c>
      <c r="C146" s="191"/>
      <c r="D146" s="192">
        <f>D129</f>
        <v>4458.5638061360596</v>
      </c>
      <c r="E146" s="191"/>
    </row>
    <row r="147" spans="2:8" x14ac:dyDescent="0.3">
      <c r="B147" t="s">
        <v>368</v>
      </c>
      <c r="C147" s="193">
        <f>D147*(1-D148)</f>
        <v>4012.7074255224538</v>
      </c>
      <c r="D147" s="194">
        <f>D146</f>
        <v>4458.5638061360596</v>
      </c>
      <c r="E147" s="194">
        <f>D147*(1+D148)</f>
        <v>4904.4201867496658</v>
      </c>
    </row>
    <row r="148" spans="2:8" x14ac:dyDescent="0.3">
      <c r="B148" s="162" t="s">
        <v>369</v>
      </c>
      <c r="D148" s="170">
        <v>0.1</v>
      </c>
    </row>
    <row r="151" spans="2:8" x14ac:dyDescent="0.3">
      <c r="B151" s="134" t="s">
        <v>370</v>
      </c>
      <c r="C151" s="134"/>
      <c r="D151" s="134"/>
      <c r="E151" s="134"/>
      <c r="F151" s="134"/>
      <c r="G151" s="134"/>
      <c r="H151" s="134"/>
    </row>
    <row r="152" spans="2:8" x14ac:dyDescent="0.3">
      <c r="B152" t="s">
        <v>371</v>
      </c>
      <c r="C152" s="171" t="s">
        <v>372</v>
      </c>
    </row>
    <row r="153" spans="2:8" x14ac:dyDescent="0.3">
      <c r="B153" t="s">
        <v>220</v>
      </c>
      <c r="C153" s="171" t="s">
        <v>373</v>
      </c>
    </row>
    <row r="154" spans="2:8" x14ac:dyDescent="0.3">
      <c r="B154" t="s">
        <v>374</v>
      </c>
      <c r="C154" s="171" t="s">
        <v>375</v>
      </c>
    </row>
    <row r="155" spans="2:8" x14ac:dyDescent="0.3">
      <c r="B155" t="s">
        <v>376</v>
      </c>
      <c r="C155" s="171" t="s">
        <v>377</v>
      </c>
    </row>
    <row r="156" spans="2:8" x14ac:dyDescent="0.3">
      <c r="B156" t="s">
        <v>336</v>
      </c>
      <c r="C156" s="171" t="s">
        <v>378</v>
      </c>
    </row>
    <row r="157" spans="2:8" x14ac:dyDescent="0.3">
      <c r="B157" t="s">
        <v>379</v>
      </c>
      <c r="C157" s="171" t="s">
        <v>380</v>
      </c>
    </row>
    <row r="160" spans="2:8" x14ac:dyDescent="0.3">
      <c r="B160" s="134" t="s">
        <v>381</v>
      </c>
      <c r="C160" s="134"/>
      <c r="D160" s="134"/>
      <c r="E160" s="134"/>
      <c r="F160" s="134"/>
      <c r="G160" s="134"/>
      <c r="H160" s="134"/>
    </row>
    <row r="161" spans="2:8" x14ac:dyDescent="0.3">
      <c r="B161" t="s">
        <v>382</v>
      </c>
      <c r="D161" s="187">
        <f>SUM(D115:D117)+SUM(D120:D122)+D127</f>
        <v>-1410</v>
      </c>
    </row>
    <row r="163" spans="2:8" x14ac:dyDescent="0.3">
      <c r="C163" s="184" t="s">
        <v>383</v>
      </c>
      <c r="D163" s="185">
        <f>F163-1%</f>
        <v>1.5000000000000001E-2</v>
      </c>
      <c r="E163" s="185">
        <f>F163-0.5%</f>
        <v>0.02</v>
      </c>
      <c r="F163" s="185">
        <f>D105</f>
        <v>2.5000000000000001E-2</v>
      </c>
      <c r="G163" s="185">
        <f>F163+0.5%</f>
        <v>3.0000000000000002E-2</v>
      </c>
      <c r="H163" s="185">
        <f>G163+0.5%</f>
        <v>3.5000000000000003E-2</v>
      </c>
    </row>
    <row r="164" spans="2:8" x14ac:dyDescent="0.3">
      <c r="C164" s="185">
        <f>C165-1.5%</f>
        <v>0.13556249999999997</v>
      </c>
      <c r="D164" s="186">
        <f>IFERROR($D$103/($C164-D$163)+$D$161,"n/a")</f>
        <v>5432.0943494038374</v>
      </c>
      <c r="E164" s="186">
        <f t="shared" ref="E164:H168" si="11">IFERROR($D$103/($C164-E$163)+$D$161,"n/a")</f>
        <v>5728.1287182260694</v>
      </c>
      <c r="F164" s="186">
        <f t="shared" si="11"/>
        <v>6050.9383832673839</v>
      </c>
      <c r="G164" s="186">
        <f t="shared" si="11"/>
        <v>6404.3280047365324</v>
      </c>
      <c r="H164" s="186">
        <f t="shared" si="11"/>
        <v>6792.8589185829733</v>
      </c>
    </row>
    <row r="165" spans="2:8" x14ac:dyDescent="0.3">
      <c r="C165" s="185">
        <f>C166-1.5%</f>
        <v>0.15056249999999999</v>
      </c>
      <c r="D165" s="186">
        <f t="shared" ref="D165:D168" si="12">IFERROR($D$103/($C165-D$163)+$D$161,"n/a")</f>
        <v>4675.01613646842</v>
      </c>
      <c r="E165" s="186">
        <f t="shared" si="11"/>
        <v>4908.0469123982766</v>
      </c>
      <c r="F165" s="186">
        <f t="shared" si="11"/>
        <v>5159.6366351418619</v>
      </c>
      <c r="G165" s="186">
        <f t="shared" si="11"/>
        <v>5432.0943494038365</v>
      </c>
      <c r="H165" s="186">
        <f t="shared" si="11"/>
        <v>5728.1287182260685</v>
      </c>
    </row>
    <row r="166" spans="2:8" x14ac:dyDescent="0.3">
      <c r="C166" s="185">
        <f>D82</f>
        <v>0.1655625</v>
      </c>
      <c r="D166" s="186">
        <f t="shared" si="12"/>
        <v>4068.787878787879</v>
      </c>
      <c r="E166" s="186">
        <f t="shared" si="11"/>
        <v>4256.9815371404029</v>
      </c>
      <c r="F166" s="186">
        <f t="shared" si="11"/>
        <v>4458.5638061360596</v>
      </c>
      <c r="G166" s="186">
        <f t="shared" si="11"/>
        <v>4675.0161364684182</v>
      </c>
      <c r="H166" s="186">
        <f t="shared" si="11"/>
        <v>4908.0469123982766</v>
      </c>
    </row>
    <row r="167" spans="2:8" x14ac:dyDescent="0.3">
      <c r="C167" s="185">
        <f>C166+1.5%</f>
        <v>0.18056250000000001</v>
      </c>
      <c r="D167" s="186">
        <f t="shared" si="12"/>
        <v>3572.4084560211395</v>
      </c>
      <c r="E167" s="186">
        <f t="shared" si="11"/>
        <v>3727.5632541845071</v>
      </c>
      <c r="F167" s="186">
        <f t="shared" si="11"/>
        <v>3892.6918441141015</v>
      </c>
      <c r="G167" s="186">
        <f t="shared" si="11"/>
        <v>4068.7878787878781</v>
      </c>
      <c r="H167" s="186">
        <f t="shared" si="11"/>
        <v>4256.9815371404029</v>
      </c>
    </row>
    <row r="168" spans="2:8" x14ac:dyDescent="0.3">
      <c r="C168" s="185">
        <f>C167+1.5%</f>
        <v>0.19556250000000003</v>
      </c>
      <c r="D168" s="186">
        <f t="shared" si="12"/>
        <v>3158.5012114918654</v>
      </c>
      <c r="E168" s="186">
        <f t="shared" si="11"/>
        <v>3288.6116055535767</v>
      </c>
      <c r="F168" s="186">
        <f t="shared" si="11"/>
        <v>3426.3503114694013</v>
      </c>
      <c r="G168" s="186">
        <f t="shared" si="11"/>
        <v>3572.4084560211386</v>
      </c>
      <c r="H168" s="186">
        <f t="shared" si="11"/>
        <v>3727.5632541845071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</vt:lpstr>
      <vt:lpstr>editing</vt:lpstr>
      <vt:lpstr>new version</vt:lpstr>
      <vt:lpstr>SME Valuation (blank)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Lee</dc:creator>
  <cp:lastModifiedBy>Austin Lee</cp:lastModifiedBy>
  <dcterms:created xsi:type="dcterms:W3CDTF">2026-08-12T03:45:49Z</dcterms:created>
  <dcterms:modified xsi:type="dcterms:W3CDTF">2026-08-18T14:04:27Z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{"Label":"1","ContentProducer":"001191440300708461136T1WFUO","ProduceID":"77262824d907ddf77a4defcf8eae3af6-5Rwh","ReservedCode1":"{\"Type\":\" TC260PG\",\"Version\":1,\"Bindings\":[{\"Type\":\"soft\",\"AlgID\":\"sm3\",\"Value\":\"5c1a6668b6e21cb351cc89688d71d3137823c5d4a5dc545178ef4bbd99fdef41\"},{\"Type\":\"hash\",\"AlgID\":\"sm3\",\"Value\":\"22b8d28d39c74753ff1027ee1cea2cafef814f3954b59ea60adc9f5b520d0463\"}],\"PubSD\":[{\"Type\":\"DS\",\"AlgID\":\"sm2\",\"TBSData\":{\"Type\":\"Binding\",\"BType\":\"hash\"},\"Signature\":\"3044022063efe870ab53e0efe79c9df61ffff96ab30b1fe53a51ad35aba7379046d706a20220614fe3d18c0c83a84887a4878c18a11480a08cf7d9cdefa6921b5d66de7c21d3\"},{\"Type\":\"PubKey\",\"AlgID\":\"sm2\",\"KeyValue\":\"0407f79b28a17a752b3aae4305c98b48978213832729a2571850b1310b2bc9fe8fee039ccf25ebfeac27502414d9fcef792d777183c98893d226171c2f7a3289a2\"}],\"Extension\":{\"Timestamp\":1786529406,\"KeyVersion\":\"v1-TxLeOmf7bqU223\"}}","ContentPropagator":"001191440300708461136T1WFUO","PropagateID":"77262824d907ddf77a4defcf8eae3af6-5Rwh","ReservedCode2":"{\"Type\":\" TC260PG\",\"Version\":1,\"Bindings\":[{\"Type\":\"soft\",\"AlgID\":\"sm3\",\"Value\":\"5c1a6668b6e21cb351cc89688d71d3137823c5d4a5dc545178ef4bbd99fdef41\"},{\"Type\":\"hash\",\"AlgID\":\"sm3\",\"Value\":\"22b8d28d39c74753ff1027ee1cea2cafef814f3954b59ea60adc9f5b520d0463\"}],\"PubSD\":[{\"Type\":\"DS\",\"AlgID\":\"sm2\",\"TBSData\":{\"Type\":\"Binding\",\"BType\":\"hash\"},\"Signature\":\"3046022100ac2a6adeb6e4ea276476125db180bcf6c79252fe6e8440f8dbedb35c400f5fb7022100aa140dfc99816293b6c88213698d4434f33c394166afee9ccb261cc6493dc635\"},{\"Type\":\"PubKey\",\"AlgID\":\"sm2\",\"KeyValue\":\"0407f79b28a17a752b3aae4305c98b48978213832729a2571850b1310b2bc9fe8fee039ccf25ebfeac27502414d9fcef792d777183c98893d226171c2f7a3289a2\"}],\"Extension\":{\"Timestamp\":1786529406,\"KeyVersion\":\"v1-TxLeOmf7bqU223\"}}"}</vt:lpwstr>
  </property>
</Properties>
</file>